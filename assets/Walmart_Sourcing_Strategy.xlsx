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59688568bbf30a19/Desktop/"/>
    </mc:Choice>
  </mc:AlternateContent>
  <xr:revisionPtr revIDLastSave="119" documentId="8_{748E5015-91E2-46CC-A1CC-2AB9951CEF5B}" xr6:coauthVersionLast="47" xr6:coauthVersionMax="47" xr10:uidLastSave="{DBEE685C-8246-4236-8363-DB953FE0E1A3}"/>
  <bookViews>
    <workbookView xWindow="-108" yWindow="-108" windowWidth="23256" windowHeight="13896" firstSheet="1" activeTab="2" xr2:uid="{00000000-000D-0000-FFFF-FFFF00000000}"/>
  </bookViews>
  <sheets>
    <sheet name="Raw_Procurement_Data" sheetId="1" r:id="rId1"/>
    <sheet name="Sourcing_Analytics" sheetId="5" r:id="rId2"/>
    <sheet name="Cleaned_Data" sheetId="3" r:id="rId3"/>
    <sheet name="Executive_Dashboard" sheetId="7" r:id="rId4"/>
    <sheet name="Interview_Context_&amp;_Instruction" sheetId="2" r:id="rId5"/>
  </sheets>
  <definedNames>
    <definedName name="Slicer_Contract_Status">#N/A</definedName>
    <definedName name="Slicer_Supplier_Region">#N/A</definedName>
  </definedNames>
  <calcPr calcId="191029"/>
  <pivotCaches>
    <pivotCache cacheId="2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J2" i="3" s="1"/>
  <c r="L4" i="7"/>
  <c r="C4" i="7"/>
  <c r="H4" i="7"/>
  <c r="J72" i="3" l="1"/>
  <c r="J127" i="3"/>
  <c r="J30" i="3"/>
  <c r="J114" i="3"/>
  <c r="J16" i="3"/>
  <c r="J113" i="3"/>
  <c r="J100" i="3"/>
  <c r="J99" i="3"/>
  <c r="J86" i="3"/>
  <c r="J85" i="3"/>
  <c r="J71" i="3"/>
  <c r="J58" i="3"/>
  <c r="J142" i="3"/>
  <c r="J56" i="3"/>
  <c r="J57" i="3"/>
  <c r="J141" i="3"/>
  <c r="J44" i="3"/>
  <c r="J128" i="3"/>
  <c r="J43" i="3"/>
  <c r="J124" i="3"/>
  <c r="J96" i="3"/>
  <c r="J68" i="3"/>
  <c r="J40" i="3"/>
  <c r="J12" i="3"/>
  <c r="J151" i="3"/>
  <c r="J137" i="3"/>
  <c r="J109" i="3"/>
  <c r="J81" i="3"/>
  <c r="J53" i="3"/>
  <c r="J11" i="3"/>
  <c r="J150" i="3"/>
  <c r="J136" i="3"/>
  <c r="J108" i="3"/>
  <c r="J80" i="3"/>
  <c r="J52" i="3"/>
  <c r="J10" i="3"/>
  <c r="J149" i="3"/>
  <c r="J135" i="3"/>
  <c r="J107" i="3"/>
  <c r="J79" i="3"/>
  <c r="J51" i="3"/>
  <c r="J37" i="3"/>
  <c r="J9" i="3"/>
  <c r="J134" i="3"/>
  <c r="J120" i="3"/>
  <c r="J106" i="3"/>
  <c r="J78" i="3"/>
  <c r="J64" i="3"/>
  <c r="J50" i="3"/>
  <c r="J36" i="3"/>
  <c r="J8" i="3"/>
  <c r="J147" i="3"/>
  <c r="J119" i="3"/>
  <c r="J105" i="3"/>
  <c r="J77" i="3"/>
  <c r="J49" i="3"/>
  <c r="J21" i="3"/>
  <c r="J146" i="3"/>
  <c r="J118" i="3"/>
  <c r="J90" i="3"/>
  <c r="J62" i="3"/>
  <c r="J34" i="3"/>
  <c r="J6" i="3"/>
  <c r="J131" i="3"/>
  <c r="J4" i="3"/>
  <c r="J29" i="3"/>
  <c r="J15" i="3"/>
  <c r="J140" i="3"/>
  <c r="J126" i="3"/>
  <c r="J112" i="3"/>
  <c r="J98" i="3"/>
  <c r="J84" i="3"/>
  <c r="J70" i="3"/>
  <c r="J42" i="3"/>
  <c r="J28" i="3"/>
  <c r="J14" i="3"/>
  <c r="J139" i="3"/>
  <c r="J125" i="3"/>
  <c r="J111" i="3"/>
  <c r="J97" i="3"/>
  <c r="J83" i="3"/>
  <c r="J69" i="3"/>
  <c r="J55" i="3"/>
  <c r="J41" i="3"/>
  <c r="J27" i="3"/>
  <c r="J13" i="3"/>
  <c r="J138" i="3"/>
  <c r="J110" i="3"/>
  <c r="J82" i="3"/>
  <c r="J54" i="3"/>
  <c r="J26" i="3"/>
  <c r="J123" i="3"/>
  <c r="J95" i="3"/>
  <c r="J67" i="3"/>
  <c r="J39" i="3"/>
  <c r="J25" i="3"/>
  <c r="J122" i="3"/>
  <c r="J94" i="3"/>
  <c r="J66" i="3"/>
  <c r="J38" i="3"/>
  <c r="J24" i="3"/>
  <c r="J121" i="3"/>
  <c r="J93" i="3"/>
  <c r="J65" i="3"/>
  <c r="J23" i="3"/>
  <c r="J148" i="3"/>
  <c r="J92" i="3"/>
  <c r="J22" i="3"/>
  <c r="J133" i="3"/>
  <c r="J91" i="3"/>
  <c r="J63" i="3"/>
  <c r="J35" i="3"/>
  <c r="J7" i="3"/>
  <c r="J132" i="3"/>
  <c r="J104" i="3"/>
  <c r="J76" i="3"/>
  <c r="J48" i="3"/>
  <c r="J20" i="3"/>
  <c r="J145" i="3"/>
  <c r="J117" i="3"/>
  <c r="J103" i="3"/>
  <c r="J89" i="3"/>
  <c r="J75" i="3"/>
  <c r="J61" i="3"/>
  <c r="J47" i="3"/>
  <c r="J33" i="3"/>
  <c r="J19" i="3"/>
  <c r="J5" i="3"/>
  <c r="J144" i="3"/>
  <c r="J130" i="3"/>
  <c r="J116" i="3"/>
  <c r="J102" i="3"/>
  <c r="J88" i="3"/>
  <c r="J74" i="3"/>
  <c r="J60" i="3"/>
  <c r="J46" i="3"/>
  <c r="J32" i="3"/>
  <c r="J18" i="3"/>
  <c r="J143" i="3"/>
  <c r="J129" i="3"/>
  <c r="J115" i="3"/>
  <c r="J101" i="3"/>
  <c r="J87" i="3"/>
  <c r="J73" i="3"/>
  <c r="J59" i="3"/>
  <c r="J45" i="3"/>
  <c r="J31" i="3"/>
  <c r="J17" i="3"/>
  <c r="J3" i="3"/>
</calcChain>
</file>

<file path=xl/sharedStrings.xml><?xml version="1.0" encoding="utf-8"?>
<sst xmlns="http://schemas.openxmlformats.org/spreadsheetml/2006/main" count="1719" uniqueCount="389">
  <si>
    <t>Transaction_ID</t>
  </si>
  <si>
    <t>Supplier_Name</t>
  </si>
  <si>
    <t>Category</t>
  </si>
  <si>
    <t>Supplier_Region</t>
  </si>
  <si>
    <t>Annual_Spend_USD</t>
  </si>
  <si>
    <t>Contract_Savings_Target_%</t>
  </si>
  <si>
    <t>Current_Savings_Realized_USD</t>
  </si>
  <si>
    <t>Contract_Status</t>
  </si>
  <si>
    <t>Contract_Renewal_Date</t>
  </si>
  <si>
    <t>TXN-1000</t>
  </si>
  <si>
    <t xml:space="preserve"> Supplier Delta Co. </t>
  </si>
  <si>
    <t>OFFICE SUPPLIES</t>
  </si>
  <si>
    <t>Latin America</t>
  </si>
  <si>
    <t>Under Review</t>
  </si>
  <si>
    <t>2026-07-06</t>
  </si>
  <si>
    <t>TXN-1001</t>
  </si>
  <si>
    <t xml:space="preserve"> Supplier Sigma Co. </t>
  </si>
  <si>
    <t>office supplies</t>
  </si>
  <si>
    <t>Terminated</t>
  </si>
  <si>
    <t>2026-03-09</t>
  </si>
  <si>
    <t>TXN-1002</t>
  </si>
  <si>
    <t xml:space="preserve"> Supplier Gamma Co. </t>
  </si>
  <si>
    <t>STORE FIXTURES</t>
  </si>
  <si>
    <t>North America</t>
  </si>
  <si>
    <t>Active</t>
  </si>
  <si>
    <t>2026-06-17</t>
  </si>
  <si>
    <t>TXN-1003</t>
  </si>
  <si>
    <t>technology hardware</t>
  </si>
  <si>
    <t>Expired</t>
  </si>
  <si>
    <t>2026-12-21</t>
  </si>
  <si>
    <t>TXN-1004</t>
  </si>
  <si>
    <t>2026-10-28</t>
  </si>
  <si>
    <t>TXN-1005</t>
  </si>
  <si>
    <t xml:space="preserve"> Supplier Beta Co. </t>
  </si>
  <si>
    <t>Europe</t>
  </si>
  <si>
    <t>2027-01-11</t>
  </si>
  <si>
    <t>TXN-1006</t>
  </si>
  <si>
    <t>2027-04-03</t>
  </si>
  <si>
    <t>TXN-1007</t>
  </si>
  <si>
    <t>TECHNOLOGY HARDWARE</t>
  </si>
  <si>
    <t>2027-04-21</t>
  </si>
  <si>
    <t>TXN-1008</t>
  </si>
  <si>
    <t>store fixtures</t>
  </si>
  <si>
    <t>2026-01-30</t>
  </si>
  <si>
    <t>TXN-1009</t>
  </si>
  <si>
    <t>2026-09-20</t>
  </si>
  <si>
    <t>TXN-1010</t>
  </si>
  <si>
    <t>FACILITY MAINTENANCE</t>
  </si>
  <si>
    <t>2026-07-11</t>
  </si>
  <si>
    <t>TXN-1011</t>
  </si>
  <si>
    <t>LOGISTICS SERVICES</t>
  </si>
  <si>
    <t>2026-09-28</t>
  </si>
  <si>
    <t>TXN-1012</t>
  </si>
  <si>
    <t xml:space="preserve"> Supplier Omega Co. </t>
  </si>
  <si>
    <t>logistics services</t>
  </si>
  <si>
    <t>2025-10-21</t>
  </si>
  <si>
    <t>TXN-1013</t>
  </si>
  <si>
    <t>2026-02-18</t>
  </si>
  <si>
    <t>TXN-1014</t>
  </si>
  <si>
    <t>Asia-Pacific</t>
  </si>
  <si>
    <t>2026-07-15</t>
  </si>
  <si>
    <t>TXN-1015</t>
  </si>
  <si>
    <t>2025-10-03</t>
  </si>
  <si>
    <t>TXN-1016</t>
  </si>
  <si>
    <t>2027-02-16</t>
  </si>
  <si>
    <t>TXN-1017</t>
  </si>
  <si>
    <t>2026-01-13</t>
  </si>
  <si>
    <t>TXN-1018</t>
  </si>
  <si>
    <t>2026-03-28</t>
  </si>
  <si>
    <t>TXN-1019</t>
  </si>
  <si>
    <t>2026-05-07</t>
  </si>
  <si>
    <t>TXN-1020</t>
  </si>
  <si>
    <t>2026-07-29</t>
  </si>
  <si>
    <t>TXN-1021</t>
  </si>
  <si>
    <t xml:space="preserve"> Supplier Alpha Co. </t>
  </si>
  <si>
    <t>2025-12-29</t>
  </si>
  <si>
    <t>TXN-1022</t>
  </si>
  <si>
    <t>PACKAGING MATERIALS</t>
  </si>
  <si>
    <t>2025-11-16</t>
  </si>
  <si>
    <t>TXN-1023</t>
  </si>
  <si>
    <t>2026-11-02</t>
  </si>
  <si>
    <t>TXN-1024</t>
  </si>
  <si>
    <t>2025-11-30</t>
  </si>
  <si>
    <t>TXN-1025</t>
  </si>
  <si>
    <t>2026-07-31</t>
  </si>
  <si>
    <t>TXN-1026</t>
  </si>
  <si>
    <t>facility maintenance</t>
  </si>
  <si>
    <t>2026-07-08</t>
  </si>
  <si>
    <t>TXN-1027</t>
  </si>
  <si>
    <t>2027-03-24</t>
  </si>
  <si>
    <t>TXN-1028</t>
  </si>
  <si>
    <t>2026-02-17</t>
  </si>
  <si>
    <t>TXN-1029</t>
  </si>
  <si>
    <t>2027-01-02</t>
  </si>
  <si>
    <t>TXN-1030</t>
  </si>
  <si>
    <t>2026-05-24</t>
  </si>
  <si>
    <t>TXN-1031</t>
  </si>
  <si>
    <t>2027-01-26</t>
  </si>
  <si>
    <t>TXN-1032</t>
  </si>
  <si>
    <t>2027-02-11</t>
  </si>
  <si>
    <t>TXN-1033</t>
  </si>
  <si>
    <t>2026-09-22</t>
  </si>
  <si>
    <t>TXN-1034</t>
  </si>
  <si>
    <t>2027-01-17</t>
  </si>
  <si>
    <t>TXN-1035</t>
  </si>
  <si>
    <t>2026-04-11</t>
  </si>
  <si>
    <t>TXN-1036</t>
  </si>
  <si>
    <t>2026-02-23</t>
  </si>
  <si>
    <t>TXN-1037</t>
  </si>
  <si>
    <t>2026-12-16</t>
  </si>
  <si>
    <t>TXN-1038</t>
  </si>
  <si>
    <t>2027-02-05</t>
  </si>
  <si>
    <t>TXN-1039</t>
  </si>
  <si>
    <t>2025-12-04</t>
  </si>
  <si>
    <t>TXN-1040</t>
  </si>
  <si>
    <t>TXN-1041</t>
  </si>
  <si>
    <t>2025-10-09</t>
  </si>
  <si>
    <t>TXN-1042</t>
  </si>
  <si>
    <t>2026-04-27</t>
  </si>
  <si>
    <t>TXN-1043</t>
  </si>
  <si>
    <t>packaging materials</t>
  </si>
  <si>
    <t>2025-11-22</t>
  </si>
  <si>
    <t>TXN-1044</t>
  </si>
  <si>
    <t>2025-11-03</t>
  </si>
  <si>
    <t>TXN-1045</t>
  </si>
  <si>
    <t>2025-10-17</t>
  </si>
  <si>
    <t>TXN-1046</t>
  </si>
  <si>
    <t>2025-10-31</t>
  </si>
  <si>
    <t>TXN-1047</t>
  </si>
  <si>
    <t>2026-01-31</t>
  </si>
  <si>
    <t>TXN-1048</t>
  </si>
  <si>
    <t>2027-02-02</t>
  </si>
  <si>
    <t>TXN-1049</t>
  </si>
  <si>
    <t>2026-05-09</t>
  </si>
  <si>
    <t>TXN-1050</t>
  </si>
  <si>
    <t>2026-01-08</t>
  </si>
  <si>
    <t>TXN-1051</t>
  </si>
  <si>
    <t>2026-03-13</t>
  </si>
  <si>
    <t>TXN-1052</t>
  </si>
  <si>
    <t>2026-12-01</t>
  </si>
  <si>
    <t>TXN-1053</t>
  </si>
  <si>
    <t>2027-01-13</t>
  </si>
  <si>
    <t>TXN-1054</t>
  </si>
  <si>
    <t>2026-01-02</t>
  </si>
  <si>
    <t>TXN-1055</t>
  </si>
  <si>
    <t>2027-02-28</t>
  </si>
  <si>
    <t>TXN-1056</t>
  </si>
  <si>
    <t>2026-06-24</t>
  </si>
  <si>
    <t>TXN-1057</t>
  </si>
  <si>
    <t>2025-11-05</t>
  </si>
  <si>
    <t>TXN-1058</t>
  </si>
  <si>
    <t>TXN-1059</t>
  </si>
  <si>
    <t>2026-08-18</t>
  </si>
  <si>
    <t>TXN-1060</t>
  </si>
  <si>
    <t>2027-04-14</t>
  </si>
  <si>
    <t>TXN-1061</t>
  </si>
  <si>
    <t>2027-02-01</t>
  </si>
  <si>
    <t>TXN-1062</t>
  </si>
  <si>
    <t>2025-10-04</t>
  </si>
  <si>
    <t>TXN-1063</t>
  </si>
  <si>
    <t>2026-08-06</t>
  </si>
  <si>
    <t>TXN-1064</t>
  </si>
  <si>
    <t>2027-05-07</t>
  </si>
  <si>
    <t>TXN-1065</t>
  </si>
  <si>
    <t>2026-04-26</t>
  </si>
  <si>
    <t>TXN-1066</t>
  </si>
  <si>
    <t>2026-08-27</t>
  </si>
  <si>
    <t>TXN-1067</t>
  </si>
  <si>
    <t>2025-12-12</t>
  </si>
  <si>
    <t>TXN-1068</t>
  </si>
  <si>
    <t>2027-01-20</t>
  </si>
  <si>
    <t>TXN-1069</t>
  </si>
  <si>
    <t>2026-10-01</t>
  </si>
  <si>
    <t>TXN-1070</t>
  </si>
  <si>
    <t>2026-04-10</t>
  </si>
  <si>
    <t>TXN-1071</t>
  </si>
  <si>
    <t>2027-03-13</t>
  </si>
  <si>
    <t>TXN-1072</t>
  </si>
  <si>
    <t>2027-01-01</t>
  </si>
  <si>
    <t>TXN-1073</t>
  </si>
  <si>
    <t>2025-12-20</t>
  </si>
  <si>
    <t>TXN-1074</t>
  </si>
  <si>
    <t>TXN-1075</t>
  </si>
  <si>
    <t>2027-04-16</t>
  </si>
  <si>
    <t>TXN-1076</t>
  </si>
  <si>
    <t>2027-01-24</t>
  </si>
  <si>
    <t>TXN-1077</t>
  </si>
  <si>
    <t>2027-03-14</t>
  </si>
  <si>
    <t>TXN-1078</t>
  </si>
  <si>
    <t>2025-11-08</t>
  </si>
  <si>
    <t>TXN-1079</t>
  </si>
  <si>
    <t>2026-07-07</t>
  </si>
  <si>
    <t>TXN-1080</t>
  </si>
  <si>
    <t>2025-10-08</t>
  </si>
  <si>
    <t>TXN-1081</t>
  </si>
  <si>
    <t>TXN-1082</t>
  </si>
  <si>
    <t>2025-12-17</t>
  </si>
  <si>
    <t>TXN-1083</t>
  </si>
  <si>
    <t>2026-05-30</t>
  </si>
  <si>
    <t>TXN-1084</t>
  </si>
  <si>
    <t>2026-10-18</t>
  </si>
  <si>
    <t>TXN-1085</t>
  </si>
  <si>
    <t>2026-08-23</t>
  </si>
  <si>
    <t>TXN-1086</t>
  </si>
  <si>
    <t>2027-02-23</t>
  </si>
  <si>
    <t>TXN-1087</t>
  </si>
  <si>
    <t>2026-02-06</t>
  </si>
  <si>
    <t>TXN-1088</t>
  </si>
  <si>
    <t>TXN-1089</t>
  </si>
  <si>
    <t>2027-01-12</t>
  </si>
  <si>
    <t>TXN-1090</t>
  </si>
  <si>
    <t>2027-05-09</t>
  </si>
  <si>
    <t>TXN-1091</t>
  </si>
  <si>
    <t>2026-05-03</t>
  </si>
  <si>
    <t>TXN-1092</t>
  </si>
  <si>
    <t>2026-09-29</t>
  </si>
  <si>
    <t>TXN-1093</t>
  </si>
  <si>
    <t>2026-10-29</t>
  </si>
  <si>
    <t>TXN-1094</t>
  </si>
  <si>
    <t>2026-12-09</t>
  </si>
  <si>
    <t>TXN-1095</t>
  </si>
  <si>
    <t>2027-01-25</t>
  </si>
  <si>
    <t>TXN-1096</t>
  </si>
  <si>
    <t>2026-06-22</t>
  </si>
  <si>
    <t>TXN-1097</t>
  </si>
  <si>
    <t>2027-03-02</t>
  </si>
  <si>
    <t>TXN-1098</t>
  </si>
  <si>
    <t>2026-02-28</t>
  </si>
  <si>
    <t>TXN-1099</t>
  </si>
  <si>
    <t>2026-02-21</t>
  </si>
  <si>
    <t>TXN-1100</t>
  </si>
  <si>
    <t>2026-03-29</t>
  </si>
  <si>
    <t>TXN-1101</t>
  </si>
  <si>
    <t>TXN-1102</t>
  </si>
  <si>
    <t>TXN-1103</t>
  </si>
  <si>
    <t>2026-03-12</t>
  </si>
  <si>
    <t>TXN-1104</t>
  </si>
  <si>
    <t>2026-03-24</t>
  </si>
  <si>
    <t>TXN-1105</t>
  </si>
  <si>
    <t>2026-09-21</t>
  </si>
  <si>
    <t>TXN-1106</t>
  </si>
  <si>
    <t>TXN-1107</t>
  </si>
  <si>
    <t>2027-03-03</t>
  </si>
  <si>
    <t>TXN-1108</t>
  </si>
  <si>
    <t>TXN-1109</t>
  </si>
  <si>
    <t>2027-02-20</t>
  </si>
  <si>
    <t>TXN-1110</t>
  </si>
  <si>
    <t>2026-09-06</t>
  </si>
  <si>
    <t>TXN-1111</t>
  </si>
  <si>
    <t>2026-10-24</t>
  </si>
  <si>
    <t>TXN-1112</t>
  </si>
  <si>
    <t>2026-03-02</t>
  </si>
  <si>
    <t>TXN-1113</t>
  </si>
  <si>
    <t>TXN-1114</t>
  </si>
  <si>
    <t>2027-01-28</t>
  </si>
  <si>
    <t>TXN-1115</t>
  </si>
  <si>
    <t>2026-11-22</t>
  </si>
  <si>
    <t>TXN-1116</t>
  </si>
  <si>
    <t>TXN-1117</t>
  </si>
  <si>
    <t>TXN-1118</t>
  </si>
  <si>
    <t>2026-07-30</t>
  </si>
  <si>
    <t>TXN-1119</t>
  </si>
  <si>
    <t>2026-03-11</t>
  </si>
  <si>
    <t>TXN-1120</t>
  </si>
  <si>
    <t>2027-03-22</t>
  </si>
  <si>
    <t>TXN-1121</t>
  </si>
  <si>
    <t>2026-11-10</t>
  </si>
  <si>
    <t>TXN-1122</t>
  </si>
  <si>
    <t>2026-05-31</t>
  </si>
  <si>
    <t>TXN-1123</t>
  </si>
  <si>
    <t>2026-02-10</t>
  </si>
  <si>
    <t>TXN-1124</t>
  </si>
  <si>
    <t>2026-06-23</t>
  </si>
  <si>
    <t>TXN-1125</t>
  </si>
  <si>
    <t>2026-11-12</t>
  </si>
  <si>
    <t>TXN-1126</t>
  </si>
  <si>
    <t>TXN-1127</t>
  </si>
  <si>
    <t>TXN-1128</t>
  </si>
  <si>
    <t>TXN-1129</t>
  </si>
  <si>
    <t>TXN-1130</t>
  </si>
  <si>
    <t>2026-05-25</t>
  </si>
  <si>
    <t>TXN-1131</t>
  </si>
  <si>
    <t>2026-06-21</t>
  </si>
  <si>
    <t>TXN-1132</t>
  </si>
  <si>
    <t>2026-12-06</t>
  </si>
  <si>
    <t>TXN-1133</t>
  </si>
  <si>
    <t>2026-05-19</t>
  </si>
  <si>
    <t>TXN-1134</t>
  </si>
  <si>
    <t>2026-10-04</t>
  </si>
  <si>
    <t>TXN-1135</t>
  </si>
  <si>
    <t>2026-06-15</t>
  </si>
  <si>
    <t>TXN-1136</t>
  </si>
  <si>
    <t>2026-09-16</t>
  </si>
  <si>
    <t>TXN-1137</t>
  </si>
  <si>
    <t>2026-08-28</t>
  </si>
  <si>
    <t>TXN-1138</t>
  </si>
  <si>
    <t>2026-10-16</t>
  </si>
  <si>
    <t>TXN-1139</t>
  </si>
  <si>
    <t>2027-04-22</t>
  </si>
  <si>
    <t>TXN-1140</t>
  </si>
  <si>
    <t>2025-09-25</t>
  </si>
  <si>
    <t>TXN-1141</t>
  </si>
  <si>
    <t>2026-11-25</t>
  </si>
  <si>
    <t>TXN-1142</t>
  </si>
  <si>
    <t>2026-02-11</t>
  </si>
  <si>
    <t>TXN-1143</t>
  </si>
  <si>
    <t>2026-10-03</t>
  </si>
  <si>
    <t>TXN-1144</t>
  </si>
  <si>
    <t>2026-08-12</t>
  </si>
  <si>
    <t>TXN-1145</t>
  </si>
  <si>
    <t>2026-02-15</t>
  </si>
  <si>
    <t>TXN-1146</t>
  </si>
  <si>
    <t>2026-07-12</t>
  </si>
  <si>
    <t>TXN-1147</t>
  </si>
  <si>
    <t>2026-11-28</t>
  </si>
  <si>
    <t>TXN-1148</t>
  </si>
  <si>
    <t>2027-04-30</t>
  </si>
  <si>
    <t>TXN-1149</t>
  </si>
  <si>
    <t>2026-10-26</t>
  </si>
  <si>
    <t>Walmart Sourcing &amp; Procurement Strategy - Portfolio Interview Dataset</t>
  </si>
  <si>
    <t>1. JOB DESCRIPTION EXPECTATIONS &amp; INTERVIEW ALIGNMENT</t>
  </si>
  <si>
    <t>Role Profile:</t>
  </si>
  <si>
    <t>Manager, Business Strategy (Sourcing &amp; Procurement Strategy &amp; Transformation)</t>
  </si>
  <si>
    <t>Core Expectation:</t>
  </si>
  <si>
    <t>Extract actionable insights from raw vendor data, demonstrate rigorous data hygiene, identify cost-saving initiatives, and translate technical analyses into executive-level dashboard stories.</t>
  </si>
  <si>
    <t>How to use this in your interview:</t>
  </si>
  <si>
    <t>Clean this data, build the designated summary tables/charts, and present this workbook to the panel as an end-to-end project demonstrating how you systematically tackle messy enterprise sourcing data.</t>
  </si>
  <si>
    <t>2. REQUIRED DATA CLEANING TASKS (Demonstrate this to the panel)</t>
  </si>
  <si>
    <t>Task A: Text Standardization</t>
  </si>
  <si>
    <t>Standardize the 'Category' column using proper casing (e.g., =PROPER() or UPPER()) and trim leading/trailing spaces from 'Supplier_Name' (=TRIM()).</t>
  </si>
  <si>
    <t>Task B: Handle Missing Values</t>
  </si>
  <si>
    <t>Identify missing rows in 'Supplier_Region'. Replace blanks with 'Unassigned' or use lookup techniques to infer missing regions if a supplier exists elsewhere.</t>
  </si>
  <si>
    <t>Task C: Outlier &amp; Error Correction</t>
  </si>
  <si>
    <t>Flag and handle the negative value in 'Annual_Spend_USD' (Row 47) and investigate the $25M outlier (Row 12) to ensure data integrity before aggregation.</t>
  </si>
  <si>
    <t>Task D: Date Standardization</t>
  </si>
  <si>
    <t>Convert the string dates in 'Contract_Renewal_Date' into true Excel Date formats and calculate 'Days to Renewal' against today's date.</t>
  </si>
  <si>
    <t>3. TARGET STRATEGIC METRICS TO COMPUTE &amp; DISPLAY</t>
  </si>
  <si>
    <t>Metric 1: Total Sourcing Spend</t>
  </si>
  <si>
    <t>Aggregate clean total spend across all approved categories.</t>
  </si>
  <si>
    <t>Metric 2: Realized vs Target Savings</t>
  </si>
  <si>
    <t>Calculate the variance between target savings (% of spend) and actual realized savings to isolate underperforming contracts.</t>
  </si>
  <si>
    <t>Metric 3: Contract Risk Pipeline</t>
  </si>
  <si>
    <t>Group contracts by 'Contract_Status' and renewal windows (e.g., &lt;90 Days, 90-180 Days, 180+ Days) to prioritize negotiation efforts.</t>
  </si>
  <si>
    <t>Metric 4: Supplier Consolidation Index</t>
  </si>
  <si>
    <t>Identify categories with a high volume of low-spend suppliers to pinpoint opportunities for supplier consolidation.</t>
  </si>
  <si>
    <t>Office Supplies</t>
  </si>
  <si>
    <t>Store Fixtures</t>
  </si>
  <si>
    <t>Technology Hardware</t>
  </si>
  <si>
    <t>Facility Maintenance</t>
  </si>
  <si>
    <t>Logistics Services</t>
  </si>
  <si>
    <t>Packaging Materials</t>
  </si>
  <si>
    <t>Unassigned</t>
  </si>
  <si>
    <t>TodaysDate</t>
  </si>
  <si>
    <t>Transaction ID</t>
  </si>
  <si>
    <t>Supplier Name</t>
  </si>
  <si>
    <t>Supplier Region</t>
  </si>
  <si>
    <t>Contract Savings Target %</t>
  </si>
  <si>
    <t>Current Savings Realized USD</t>
  </si>
  <si>
    <t>Contract Status</t>
  </si>
  <si>
    <t>Contract Renewal Date</t>
  </si>
  <si>
    <t>Days to Renewal</t>
  </si>
  <si>
    <t>Row Labels</t>
  </si>
  <si>
    <t>Grand Total</t>
  </si>
  <si>
    <t xml:space="preserve">Annual Spend (USD)  </t>
  </si>
  <si>
    <t>2025</t>
  </si>
  <si>
    <t>2026</t>
  </si>
  <si>
    <t>2027</t>
  </si>
  <si>
    <t>Total Suppliers</t>
  </si>
  <si>
    <t>Annual Spend</t>
  </si>
  <si>
    <t>Target Savings</t>
  </si>
  <si>
    <t>Savings Spillage</t>
  </si>
  <si>
    <t>Open Contracts</t>
  </si>
  <si>
    <t>Walmart Sourcing &amp; Procurement: Value Realization &amp; Portfolio Strategy Dashboard</t>
  </si>
  <si>
    <t>TOTAL TARGET SAVINGS</t>
  </si>
  <si>
    <t xml:space="preserve">TOTAL PORTFOLIO SPEND </t>
  </si>
  <si>
    <t>PORTFOLIO SAVINGS SLIPPAGE</t>
  </si>
  <si>
    <t>4.EXECUTION STATUS &amp; METRIC VERIFICATION</t>
  </si>
  <si>
    <r>
      <t>Total Portfolio Scope:</t>
    </r>
    <r>
      <rPr>
        <sz val="10"/>
        <color theme="1"/>
        <rFont val="Segoe UI"/>
        <family val="2"/>
      </rPr>
      <t xml:space="preserve"> </t>
    </r>
  </si>
  <si>
    <t>Total Negotiated Value Captured:</t>
  </si>
  <si>
    <t>Identified Value Leakage:</t>
  </si>
  <si>
    <t>Identified and isolated a single $25M transaction anomaly in Facility Maintenance. Kept isolated in portfolio analysis to protect baseline data averages.</t>
  </si>
  <si>
    <r>
      <t>Data Hygiene Check:</t>
    </r>
    <r>
      <rPr>
        <sz val="10"/>
        <color theme="1"/>
        <rFont val="Segoe UI"/>
        <family val="2"/>
      </rPr>
      <t xml:space="preserve"> </t>
    </r>
    <r>
      <rPr>
        <b/>
        <sz val="10"/>
        <color theme="1"/>
        <rFont val="Segoe UI"/>
        <family val="2"/>
      </rPr>
      <t>PASSED</t>
    </r>
    <r>
      <rPr>
        <sz val="10"/>
        <color theme="1"/>
        <rFont val="Segoe UI"/>
        <family val="2"/>
      </rPr>
      <t xml:space="preserve"> </t>
    </r>
  </si>
  <si>
    <r>
      <t>Strategic Outlier Resolution:</t>
    </r>
    <r>
      <rPr>
        <sz val="10"/>
        <color theme="1"/>
        <rFont val="Segoe UI"/>
        <family val="2"/>
      </rPr>
      <t xml:space="preserve"> </t>
    </r>
    <r>
      <rPr>
        <b/>
        <sz val="10"/>
        <color theme="1"/>
        <rFont val="Segoe UI"/>
        <family val="2"/>
      </rPr>
      <t>COMPLETED</t>
    </r>
    <r>
      <rPr>
        <sz val="10"/>
        <color theme="1"/>
        <rFont val="Segoe UI"/>
        <family val="2"/>
      </rPr>
      <t xml:space="preserve"> </t>
    </r>
  </si>
  <si>
    <r>
      <rPr>
        <b/>
        <sz val="10"/>
        <color rgb="FF00B050"/>
        <rFont val="Segoe UI"/>
        <family val="2"/>
      </rPr>
      <t>$16,996,165</t>
    </r>
    <r>
      <rPr>
        <sz val="10"/>
        <color theme="1"/>
        <rFont val="Segoe UI"/>
        <family val="2"/>
      </rPr>
      <t xml:space="preserve"> Realized Savings</t>
    </r>
  </si>
  <si>
    <r>
      <rPr>
        <b/>
        <sz val="11"/>
        <color rgb="FF002060"/>
        <rFont val="Calibri"/>
        <family val="2"/>
        <scheme val="minor"/>
      </rPr>
      <t>$211,914,607</t>
    </r>
    <r>
      <rPr>
        <sz val="11"/>
        <color theme="1"/>
        <rFont val="Calibri"/>
        <family val="2"/>
        <scheme val="minor"/>
      </rPr>
      <t xml:space="preserve">  Across 150 Vendor Contracts</t>
    </r>
  </si>
  <si>
    <r>
      <rPr>
        <b/>
        <sz val="10"/>
        <color rgb="FFC00000"/>
        <rFont val="Segoe UI"/>
        <family val="2"/>
      </rPr>
      <t>$2,701,825,864</t>
    </r>
    <r>
      <rPr>
        <sz val="10"/>
        <color theme="1"/>
        <rFont val="Segoe UI"/>
        <family val="2"/>
      </rPr>
      <t xml:space="preserve"> Sourcing Slippage (High Priority Target: Facility Maintenance &amp; Technology Hardware)</t>
    </r>
  </si>
  <si>
    <t xml:space="preserve"> Text inputs standardized via =TRIM() and =PROPER(). 37 records patched with local region parameters. Negative financial anomalies resolved. 1</t>
  </si>
  <si>
    <t>Immediate Timeline Workload:</t>
  </si>
  <si>
    <t>40 contracts are currently "Under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</si>
</sst>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0"/>
    <numFmt numFmtId="165" formatCode="&quot;$&quot;#,##0.00"/>
    <numFmt numFmtId="166" formatCode="&quot;$&quot;#,##0"/>
  </numFmts>
  <fonts count="23">
    <font>
      <sz val="11"/>
      <color theme="1"/>
      <name val="Calibri"/>
      <family val="2"/>
      <scheme val="minor"/>
    </font>
    <font>
      <b/>
      <sz val="11"/>
      <color rgb="FFFFFFFF"/>
      <name val="Segoe UI"/>
      <family val="2"/>
    </font>
    <font>
      <b/>
      <sz val="16"/>
      <color rgb="FF1B365D"/>
      <name val="Segoe UI"/>
      <family val="2"/>
    </font>
    <font>
      <b/>
      <sz val="12"/>
      <color rgb="FF1B365D"/>
      <name val="Segoe UI"/>
      <family val="2"/>
    </font>
    <font>
      <b/>
      <sz val="10"/>
      <color rgb="FF333333"/>
      <name val="Segoe UI"/>
      <family val="2"/>
    </font>
    <font>
      <sz val="10"/>
      <color rgb="FF333333"/>
      <name val="Segoe UI"/>
      <family val="2"/>
    </font>
    <font>
      <sz val="11"/>
      <color theme="1"/>
      <name val="Calibri"/>
      <family val="2"/>
      <scheme val="minor"/>
    </font>
    <font>
      <b/>
      <sz val="11"/>
      <color theme="1"/>
      <name val="Calibri"/>
      <family val="2"/>
      <scheme val="minor"/>
    </font>
    <font>
      <b/>
      <sz val="11"/>
      <color rgb="FFFFFFFF"/>
      <name val="Segoe UI"/>
      <family val="2"/>
    </font>
    <font>
      <sz val="11"/>
      <color theme="1"/>
      <name val="Segoe UI"/>
      <family val="2"/>
    </font>
    <font>
      <b/>
      <sz val="16"/>
      <color theme="0"/>
      <name val="Arial"/>
      <family val="2"/>
    </font>
    <font>
      <b/>
      <sz val="11"/>
      <color rgb="FF002060"/>
      <name val="Calibri"/>
      <family val="2"/>
      <scheme val="minor"/>
    </font>
    <font>
      <b/>
      <sz val="18"/>
      <color rgb="FF002060"/>
      <name val="Arial"/>
      <family val="2"/>
    </font>
    <font>
      <b/>
      <sz val="18"/>
      <color rgb="FFF77D69"/>
      <name val="Arial"/>
      <family val="2"/>
    </font>
    <font>
      <b/>
      <sz val="12"/>
      <color rgb="FF1B365D"/>
      <name val="Segoe UI"/>
      <family val="2"/>
    </font>
    <font>
      <sz val="10"/>
      <color theme="1"/>
      <name val="Segoe UI"/>
      <family val="2"/>
    </font>
    <font>
      <b/>
      <sz val="10"/>
      <color theme="1"/>
      <name val="Segoe UI"/>
      <family val="2"/>
    </font>
    <font>
      <b/>
      <sz val="10"/>
      <color rgb="FF00B050"/>
      <name val="Segoe UI"/>
      <family val="2"/>
    </font>
    <font>
      <b/>
      <sz val="10"/>
      <color rgb="FFC00000"/>
      <name val="Segoe UI"/>
      <family val="2"/>
    </font>
    <font>
      <b/>
      <sz val="9"/>
      <color theme="0" tint="-0.499984740745262"/>
      <name val="Segoe UI Emoji"/>
      <family val="2"/>
    </font>
    <font>
      <b/>
      <sz val="9"/>
      <color theme="0" tint="-0.499984740745262"/>
      <name val="Segoe UI"/>
      <family val="2"/>
    </font>
    <font>
      <b/>
      <sz val="9"/>
      <color theme="0" tint="-0.499984740745262"/>
      <name val="Dsegoe ui"/>
    </font>
    <font>
      <sz val="10"/>
      <color rgb="FF1F1F1F"/>
      <name val="Arial"/>
      <family val="2"/>
    </font>
  </fonts>
  <fills count="7">
    <fill>
      <patternFill patternType="none"/>
    </fill>
    <fill>
      <patternFill patternType="gray125"/>
    </fill>
    <fill>
      <patternFill patternType="solid">
        <fgColor rgb="FF4F5B66"/>
        <bgColor rgb="FF4F5B66"/>
      </patternFill>
    </fill>
    <fill>
      <patternFill patternType="solid">
        <fgColor rgb="FFF2F4F8"/>
        <bgColor rgb="FFF2F4F8"/>
      </patternFill>
    </fill>
    <fill>
      <patternFill patternType="solid">
        <fgColor theme="6" tint="0.79998168889431442"/>
        <bgColor indexed="64"/>
      </patternFill>
    </fill>
    <fill>
      <patternFill patternType="solid">
        <fgColor rgb="FF002060"/>
        <bgColor indexed="64"/>
      </patternFill>
    </fill>
    <fill>
      <patternFill patternType="solid">
        <fgColor theme="0" tint="-4.9989318521683403E-2"/>
        <bgColor indexed="64"/>
      </patternFill>
    </fill>
  </fills>
  <borders count="2">
    <border>
      <left/>
      <right/>
      <top/>
      <bottom/>
      <diagonal/>
    </border>
    <border>
      <left/>
      <right/>
      <top/>
      <bottom style="thin">
        <color rgb="FF1B365D"/>
      </bottom>
      <diagonal/>
    </border>
  </borders>
  <cellStyleXfs count="2">
    <xf numFmtId="0" fontId="0" fillId="0" borderId="0"/>
    <xf numFmtId="44" fontId="6" fillId="0" borderId="0" applyFont="0" applyFill="0" applyBorder="0" applyAlignment="0" applyProtection="0"/>
  </cellStyleXfs>
  <cellXfs count="42">
    <xf numFmtId="0" fontId="0" fillId="0" borderId="0" xfId="0"/>
    <xf numFmtId="0" fontId="1" fillId="2" borderId="0" xfId="0" applyFont="1" applyFill="1"/>
    <xf numFmtId="164" fontId="0" fillId="0" borderId="0" xfId="0" applyNumberFormat="1"/>
    <xf numFmtId="10" fontId="0" fillId="0" borderId="0" xfId="0" applyNumberFormat="1"/>
    <xf numFmtId="0" fontId="3" fillId="3" borderId="1" xfId="0" applyFont="1" applyFill="1" applyBorder="1"/>
    <xf numFmtId="0" fontId="4" fillId="0" borderId="0" xfId="0" applyFont="1"/>
    <xf numFmtId="0" fontId="5" fillId="0" borderId="0" xfId="0" applyFont="1" applyAlignment="1">
      <alignment wrapText="1"/>
    </xf>
    <xf numFmtId="165" fontId="0" fillId="0" borderId="0" xfId="0" applyNumberFormat="1"/>
    <xf numFmtId="165" fontId="0" fillId="0" borderId="0" xfId="1" applyNumberFormat="1" applyFont="1"/>
    <xf numFmtId="14" fontId="0" fillId="0" borderId="0" xfId="0" applyNumberFormat="1"/>
    <xf numFmtId="0" fontId="8" fillId="2" borderId="0" xfId="0" applyFont="1" applyFill="1"/>
    <xf numFmtId="165" fontId="8" fillId="2" borderId="0" xfId="1" applyNumberFormat="1" applyFont="1" applyFill="1"/>
    <xf numFmtId="165" fontId="8" fillId="2" borderId="0" xfId="0" applyNumberFormat="1" applyFont="1" applyFill="1"/>
    <xf numFmtId="0" fontId="9" fillId="0" borderId="0" xfId="0" applyFont="1"/>
    <xf numFmtId="0" fontId="0" fillId="0" borderId="0" xfId="0" applyAlignment="1">
      <alignment horizontal="left"/>
    </xf>
    <xf numFmtId="0" fontId="7" fillId="0" borderId="0" xfId="0" applyFont="1"/>
    <xf numFmtId="0" fontId="0" fillId="0" borderId="0" xfId="0" pivotButton="1" applyAlignment="1">
      <alignment horizontal="right"/>
    </xf>
    <xf numFmtId="0" fontId="0" fillId="0" borderId="0" xfId="0" applyAlignment="1">
      <alignment horizontal="right"/>
    </xf>
    <xf numFmtId="166" fontId="0" fillId="0" borderId="0" xfId="0" applyNumberFormat="1" applyAlignment="1">
      <alignment horizontal="right"/>
    </xf>
    <xf numFmtId="0" fontId="0" fillId="0" borderId="0" xfId="0" pivotButton="1" applyAlignment="1">
      <alignment horizontal="center"/>
    </xf>
    <xf numFmtId="0" fontId="0" fillId="0" borderId="0" xfId="0" applyAlignment="1">
      <alignment horizontal="center"/>
    </xf>
    <xf numFmtId="49" fontId="0" fillId="0" borderId="0" xfId="0" pivotButton="1" applyNumberFormat="1"/>
    <xf numFmtId="49" fontId="0" fillId="0" borderId="0" xfId="0" applyNumberFormat="1" applyAlignment="1">
      <alignment horizontal="left"/>
    </xf>
    <xf numFmtId="49" fontId="0" fillId="0" borderId="0" xfId="0" pivotButton="1" applyNumberFormat="1" applyAlignment="1">
      <alignment horizontal="left"/>
    </xf>
    <xf numFmtId="2" fontId="0" fillId="0" borderId="0" xfId="0" applyNumberFormat="1" applyAlignment="1">
      <alignment horizontal="right"/>
    </xf>
    <xf numFmtId="0" fontId="0" fillId="4" borderId="0" xfId="0" applyFill="1"/>
    <xf numFmtId="1" fontId="0" fillId="0" borderId="0" xfId="0" applyNumberFormat="1"/>
    <xf numFmtId="0" fontId="10" fillId="5" borderId="0" xfId="0" applyFont="1" applyFill="1"/>
    <xf numFmtId="0" fontId="10" fillId="5" borderId="0" xfId="0" applyFont="1" applyFill="1" applyAlignment="1">
      <alignment horizontal="left" vertical="top" indent="13"/>
    </xf>
    <xf numFmtId="0" fontId="15" fillId="0" borderId="0" xfId="0" applyFont="1"/>
    <xf numFmtId="0" fontId="16" fillId="0" borderId="0" xfId="0" applyFont="1"/>
    <xf numFmtId="0" fontId="22" fillId="0" borderId="0" xfId="0" applyFont="1"/>
    <xf numFmtId="0" fontId="10" fillId="5" borderId="0" xfId="0" applyFont="1" applyFill="1" applyAlignment="1">
      <alignment horizontal="left" vertical="top" indent="2"/>
    </xf>
    <xf numFmtId="166" fontId="12" fillId="6" borderId="0" xfId="0" applyNumberFormat="1" applyFont="1" applyFill="1" applyAlignment="1">
      <alignment horizontal="center" vertical="center"/>
    </xf>
    <xf numFmtId="166" fontId="13" fillId="6" borderId="0" xfId="0" applyNumberFormat="1" applyFont="1" applyFill="1" applyAlignment="1">
      <alignment horizontal="center" vertical="center"/>
    </xf>
    <xf numFmtId="0" fontId="20" fillId="0" borderId="0" xfId="0" applyFont="1" applyAlignment="1">
      <alignment horizontal="center" vertical="center"/>
    </xf>
    <xf numFmtId="0" fontId="21" fillId="0" borderId="0" xfId="0" applyFont="1" applyAlignment="1">
      <alignment horizontal="center"/>
    </xf>
    <xf numFmtId="0" fontId="19" fillId="0" borderId="0" xfId="0" applyFont="1" applyAlignment="1">
      <alignment horizontal="center"/>
    </xf>
    <xf numFmtId="0" fontId="2" fillId="0" borderId="0" xfId="0" applyFont="1"/>
    <xf numFmtId="0" fontId="0" fillId="0" borderId="0" xfId="0"/>
    <xf numFmtId="0" fontId="14" fillId="3" borderId="1" xfId="0" applyFont="1" applyFill="1" applyBorder="1" applyAlignment="1">
      <alignment horizontal="left"/>
    </xf>
    <xf numFmtId="0" fontId="3" fillId="3" borderId="1" xfId="0" applyFont="1" applyFill="1" applyBorder="1" applyAlignment="1">
      <alignment horizontal="left"/>
    </xf>
  </cellXfs>
  <cellStyles count="2">
    <cellStyle name="Currency" xfId="1" builtinId="4"/>
    <cellStyle name="Normal" xfId="0" builtinId="0"/>
  </cellStyles>
  <dxfs count="53">
    <dxf>
      <font>
        <color rgb="FF9C5700"/>
      </font>
      <fill>
        <patternFill>
          <bgColor rgb="FFFFEB9C"/>
        </patternFill>
      </fill>
    </dxf>
    <dxf>
      <font>
        <color rgb="FF9C0006"/>
      </font>
    </dxf>
    <dxf>
      <font>
        <color rgb="FF9C0006"/>
      </font>
      <fill>
        <patternFill>
          <bgColor rgb="FFFFC7CE"/>
        </patternFill>
      </fill>
    </dxf>
    <dxf>
      <font>
        <color rgb="FF9C0006"/>
      </font>
      <fill>
        <patternFill>
          <bgColor rgb="FFFFC7CE"/>
        </patternFill>
      </fill>
    </dxf>
    <dxf>
      <numFmt numFmtId="1" formatCode="0"/>
    </dxf>
    <dxf>
      <numFmt numFmtId="1" formatCode="0"/>
    </dxf>
    <dxf>
      <numFmt numFmtId="1" formatCode="0"/>
    </dxf>
    <dxf>
      <numFmt numFmtId="1" formatCode="0"/>
    </dxf>
    <dxf>
      <numFmt numFmtId="2" formatCode="0.00"/>
    </dxf>
    <dxf>
      <numFmt numFmtId="2" formatCode="0.00"/>
    </dxf>
    <dxf>
      <alignment horizontal="right"/>
    </dxf>
    <dxf>
      <alignment horizontal="right"/>
    </dxf>
    <dxf>
      <alignment horizontal="right"/>
    </dxf>
    <dxf>
      <alignment horizontal="right"/>
    </dxf>
    <dxf>
      <alignment horizontal="left"/>
    </dxf>
    <dxf>
      <alignment horizontal="center"/>
    </dxf>
    <dxf>
      <alignment horizontal="center"/>
    </dxf>
    <dxf>
      <alignment horizontal="center"/>
    </dxf>
    <dxf>
      <alignment horizontal="center"/>
    </dxf>
    <dxf>
      <numFmt numFmtId="30" formatCode="@"/>
    </dxf>
    <dxf>
      <numFmt numFmtId="30" formatCode="@"/>
    </dxf>
    <dxf>
      <alignment horizontal="right"/>
    </dxf>
    <dxf>
      <alignment horizontal="right"/>
    </dxf>
    <dxf>
      <alignment horizontal="right"/>
    </dxf>
    <dxf>
      <alignment horizontal="general"/>
    </dxf>
    <dxf>
      <alignment horizontal="left"/>
    </dxf>
    <dxf>
      <alignment horizontal="left"/>
    </dxf>
    <dxf>
      <alignment horizontal="left"/>
    </dxf>
    <dxf>
      <alignment horizontal="left"/>
    </dxf>
    <dxf>
      <numFmt numFmtId="166" formatCode="&quot;$&quot;#,##0"/>
    </dxf>
    <dxf>
      <numFmt numFmtId="166" formatCode="&quot;$&quot;#,##0"/>
    </dxf>
    <dxf>
      <numFmt numFmtId="30" formatCode="@"/>
    </dxf>
    <dxf>
      <numFmt numFmtId="30" formatCode="@"/>
    </dxf>
    <dxf>
      <alignment horizontal="right"/>
    </dxf>
    <dxf>
      <alignment horizontal="right"/>
    </dxf>
    <dxf>
      <alignment horizontal="right"/>
    </dxf>
    <dxf>
      <alignment horizontal="right"/>
    </dxf>
    <dxf>
      <alignment horizontal="left"/>
    </dxf>
    <dxf>
      <alignment horizontal="left"/>
    </dxf>
    <dxf>
      <alignment horizontal="left"/>
    </dxf>
    <dxf>
      <alignment horizontal="left"/>
    </dxf>
    <dxf>
      <alignment horizontal="left"/>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fill>
        <patternFill>
          <bgColor theme="0"/>
        </patternFill>
      </fill>
    </dxf>
    <dxf>
      <border>
        <left style="thin">
          <color theme="0" tint="-0.14996795556505021"/>
        </left>
        <right style="thin">
          <color theme="0" tint="-0.14996795556505021"/>
        </right>
        <top style="thin">
          <color theme="0" tint="-0.14996795556505021"/>
        </top>
        <bottom style="thin">
          <color theme="0" tint="-0.14996795556505021"/>
        </bottom>
      </border>
    </dxf>
    <dxf>
      <fill>
        <patternFill>
          <bgColor rgb="FF002060"/>
        </patternFill>
      </fill>
    </dxf>
  </dxfs>
  <tableStyles count="4" defaultTableStyle="TableStyleMedium9" defaultPivotStyle="PivotStyleLight16">
    <tableStyle name="Slicer Style 1" pivot="0" table="0" count="0" xr9:uid="{4CB3DFC7-51BD-4226-B529-77EE6985A98F}"/>
    <tableStyle name="Slicer Style 2" pivot="0" table="0" count="1" xr9:uid="{0EB84C99-4D07-4410-B0B4-7A36C00AE42E}"/>
    <tableStyle name="Slicer Style 3" pivot="0" table="0" count="1" xr9:uid="{7EECD94E-AD8E-4CC4-9849-BDC66EAD560B}">
      <tableStyleElement type="wholeTable" dxfId="52"/>
    </tableStyle>
    <tableStyle name="Slicer Style 4" pivot="0" table="0" count="6" xr9:uid="{A7486A4B-8E5A-4B79-8B5D-23D29B26FD2A}">
      <tableStyleElement type="wholeTable" dxfId="51"/>
      <tableStyleElement type="headerRow" dxfId="50"/>
    </tableStyle>
  </tableStyles>
  <colors>
    <mruColors>
      <color rgb="FF000066"/>
      <color rgb="FFF77D69"/>
    </mruColors>
  </colors>
  <extLst>
    <ext xmlns:x14="http://schemas.microsoft.com/office/spreadsheetml/2009/9/main" uri="{46F421CA-312F-682f-3DD2-61675219B42D}">
      <x14:dxfs count="5">
        <dxf>
          <fill>
            <patternFill>
              <bgColor theme="9" tint="0.79998168889431442"/>
            </patternFill>
          </fill>
        </dxf>
        <dxf>
          <fill>
            <patternFill>
              <bgColor theme="9" tint="0.59996337778862885"/>
            </patternFill>
          </fill>
        </dxf>
        <dxf>
          <font>
            <b val="0"/>
            <i val="0"/>
            <color theme="0"/>
            <name val="Calibri"/>
            <family val="2"/>
            <scheme val="minor"/>
          </font>
          <fill>
            <patternFill>
              <bgColor rgb="FF002060"/>
            </patternFill>
          </fill>
        </dxf>
        <dxf>
          <font>
            <b val="0"/>
            <i val="0"/>
            <color theme="0"/>
            <name val="Calibri"/>
            <family val="2"/>
            <scheme val="minor"/>
          </font>
          <fill>
            <patternFill>
              <bgColor theme="9" tint="-0.24994659260841701"/>
            </patternFill>
          </fill>
        </dxf>
        <dxf>
          <fill>
            <patternFill>
              <bgColor rgb="FF000066"/>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s>
        </x14:slicerStyle>
        <x14:slicerStyle name="Slicer Style 3"/>
        <x14:slicerStyle name="Slicer Style 4">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[Walmart_Sourcing_Strategy.xlsx]Sourcing_Analytics!Supplier_Consolidation_Index</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bg1">
                <a:lumMod val="8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bg2">
                <a:lumMod val="50000"/>
              </a:schemeClr>
            </a:solidFill>
            <a:ln w="9525">
              <a:solidFill>
                <a:schemeClr val="accent1"/>
              </a:solidFill>
            </a:ln>
            <a:effectLst/>
          </c:spPr>
        </c:marker>
      </c:pivotFmt>
    </c:pivotFmts>
    <c:plotArea>
      <c:layout/>
      <c:barChart>
        <c:barDir val="col"/>
        <c:grouping val="clustered"/>
        <c:varyColors val="0"/>
        <c:ser>
          <c:idx val="1"/>
          <c:order val="1"/>
          <c:tx>
            <c:strRef>
              <c:f>Sourcing_Analytics!$C$3</c:f>
              <c:strCache>
                <c:ptCount val="1"/>
                <c:pt idx="0">
                  <c:v>Annual Spend</c:v>
                </c:pt>
              </c:strCache>
            </c:strRef>
          </c:tx>
          <c:spPr>
            <a:solidFill>
              <a:srgbClr val="000066"/>
            </a:solidFill>
            <a:ln>
              <a:noFill/>
            </a:ln>
            <a:effectLst/>
          </c:spPr>
          <c:invertIfNegative val="0"/>
          <c:cat>
            <c:strRef>
              <c:f>Sourcing_Analytics!$A$4:$A$10</c:f>
              <c:strCache>
                <c:ptCount val="6"/>
                <c:pt idx="0">
                  <c:v>Facility Maintenance</c:v>
                </c:pt>
                <c:pt idx="1">
                  <c:v>Logistics Services</c:v>
                </c:pt>
                <c:pt idx="2">
                  <c:v>Office Supplies</c:v>
                </c:pt>
                <c:pt idx="3">
                  <c:v>Packaging Materials</c:v>
                </c:pt>
                <c:pt idx="4">
                  <c:v>Store Fixtures</c:v>
                </c:pt>
                <c:pt idx="5">
                  <c:v>Technology Hardware</c:v>
                </c:pt>
              </c:strCache>
            </c:strRef>
          </c:cat>
          <c:val>
            <c:numRef>
              <c:f>Sourcing_Analytics!$C$4:$C$10</c:f>
              <c:numCache>
                <c:formatCode>"$"#,##0</c:formatCode>
                <c:ptCount val="6"/>
                <c:pt idx="0">
                  <c:v>11126047.74</c:v>
                </c:pt>
                <c:pt idx="1">
                  <c:v>12655800.860000001</c:v>
                </c:pt>
                <c:pt idx="2">
                  <c:v>5751875.21</c:v>
                </c:pt>
                <c:pt idx="3">
                  <c:v>1113854.8400000001</c:v>
                </c:pt>
                <c:pt idx="4">
                  <c:v>3689495.54</c:v>
                </c:pt>
                <c:pt idx="5">
                  <c:v>12982018.560000001</c:v>
                </c:pt>
              </c:numCache>
            </c:numRef>
          </c:val>
          <c:extLst>
            <c:ext xmlns:c16="http://schemas.microsoft.com/office/drawing/2014/chart" uri="{C3380CC4-5D6E-409C-BE32-E72D297353CC}">
              <c16:uniqueId val="{00000000-E4E9-48D3-845D-2C11FE4B2778}"/>
            </c:ext>
          </c:extLst>
        </c:ser>
        <c:dLbls>
          <c:showLegendKey val="0"/>
          <c:showVal val="0"/>
          <c:showCatName val="0"/>
          <c:showSerName val="0"/>
          <c:showPercent val="0"/>
          <c:showBubbleSize val="0"/>
        </c:dLbls>
        <c:gapWidth val="219"/>
        <c:axId val="689962320"/>
        <c:axId val="449966640"/>
      </c:barChart>
      <c:lineChart>
        <c:grouping val="standard"/>
        <c:varyColors val="0"/>
        <c:ser>
          <c:idx val="0"/>
          <c:order val="0"/>
          <c:tx>
            <c:strRef>
              <c:f>Sourcing_Analytics!$B$3</c:f>
              <c:strCache>
                <c:ptCount val="1"/>
                <c:pt idx="0">
                  <c:v>Total Suppliers</c:v>
                </c:pt>
              </c:strCache>
            </c:strRef>
          </c:tx>
          <c:spPr>
            <a:ln w="28575" cap="rnd">
              <a:solidFill>
                <a:schemeClr val="accent1"/>
              </a:solidFill>
              <a:round/>
            </a:ln>
            <a:effectLst/>
          </c:spPr>
          <c:marker>
            <c:symbol val="circle"/>
            <c:size val="5"/>
            <c:spPr>
              <a:solidFill>
                <a:schemeClr val="bg1">
                  <a:lumMod val="85000"/>
                </a:schemeClr>
              </a:solidFill>
              <a:ln w="9525">
                <a:solidFill>
                  <a:schemeClr val="accent1"/>
                </a:solidFill>
              </a:ln>
              <a:effectLst/>
            </c:spPr>
          </c:marker>
          <c:dPt>
            <c:idx val="5"/>
            <c:marker>
              <c:symbol val="circle"/>
              <c:size val="5"/>
              <c:spPr>
                <a:solidFill>
                  <a:schemeClr val="bg2">
                    <a:lumMod val="50000"/>
                  </a:schemeClr>
                </a:solidFill>
                <a:ln w="9525">
                  <a:solidFill>
                    <a:schemeClr val="accent1"/>
                  </a:solidFill>
                </a:ln>
                <a:effectLst/>
              </c:spPr>
            </c:marker>
            <c:bubble3D val="0"/>
            <c:extLst>
              <c:ext xmlns:c16="http://schemas.microsoft.com/office/drawing/2014/chart" uri="{C3380CC4-5D6E-409C-BE32-E72D297353CC}">
                <c16:uniqueId val="{00000002-E4E9-48D3-845D-2C11FE4B2778}"/>
              </c:ext>
            </c:extLst>
          </c:dPt>
          <c:cat>
            <c:strRef>
              <c:f>Sourcing_Analytics!$A$4:$A$10</c:f>
              <c:strCache>
                <c:ptCount val="6"/>
                <c:pt idx="0">
                  <c:v>Facility Maintenance</c:v>
                </c:pt>
                <c:pt idx="1">
                  <c:v>Logistics Services</c:v>
                </c:pt>
                <c:pt idx="2">
                  <c:v>Office Supplies</c:v>
                </c:pt>
                <c:pt idx="3">
                  <c:v>Packaging Materials</c:v>
                </c:pt>
                <c:pt idx="4">
                  <c:v>Store Fixtures</c:v>
                </c:pt>
                <c:pt idx="5">
                  <c:v>Technology Hardware</c:v>
                </c:pt>
              </c:strCache>
            </c:strRef>
          </c:cat>
          <c:val>
            <c:numRef>
              <c:f>Sourcing_Analytics!$B$4:$B$10</c:f>
              <c:numCache>
                <c:formatCode>General</c:formatCode>
                <c:ptCount val="6"/>
                <c:pt idx="0">
                  <c:v>10</c:v>
                </c:pt>
                <c:pt idx="1">
                  <c:v>9</c:v>
                </c:pt>
                <c:pt idx="2">
                  <c:v>5</c:v>
                </c:pt>
                <c:pt idx="3">
                  <c:v>2</c:v>
                </c:pt>
                <c:pt idx="4">
                  <c:v>4</c:v>
                </c:pt>
                <c:pt idx="5">
                  <c:v>10</c:v>
                </c:pt>
              </c:numCache>
            </c:numRef>
          </c:val>
          <c:smooth val="0"/>
          <c:extLst>
            <c:ext xmlns:c16="http://schemas.microsoft.com/office/drawing/2014/chart" uri="{C3380CC4-5D6E-409C-BE32-E72D297353CC}">
              <c16:uniqueId val="{00000001-E4E9-48D3-845D-2C11FE4B2778}"/>
            </c:ext>
          </c:extLst>
        </c:ser>
        <c:dLbls>
          <c:showLegendKey val="0"/>
          <c:showVal val="0"/>
          <c:showCatName val="0"/>
          <c:showSerName val="0"/>
          <c:showPercent val="0"/>
          <c:showBubbleSize val="0"/>
        </c:dLbls>
        <c:marker val="1"/>
        <c:smooth val="0"/>
        <c:axId val="567682496"/>
        <c:axId val="449971440"/>
      </c:lineChart>
      <c:catAx>
        <c:axId val="68996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66640"/>
        <c:crosses val="autoZero"/>
        <c:auto val="1"/>
        <c:lblAlgn val="ctr"/>
        <c:lblOffset val="100"/>
        <c:noMultiLvlLbl val="0"/>
      </c:catAx>
      <c:valAx>
        <c:axId val="449966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62320"/>
        <c:crosses val="autoZero"/>
        <c:crossBetween val="between"/>
      </c:valAx>
      <c:valAx>
        <c:axId val="4499714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82496"/>
        <c:crosses val="max"/>
        <c:crossBetween val="between"/>
      </c:valAx>
      <c:catAx>
        <c:axId val="567682496"/>
        <c:scaling>
          <c:orientation val="minMax"/>
        </c:scaling>
        <c:delete val="1"/>
        <c:axPos val="b"/>
        <c:numFmt formatCode="General" sourceLinked="1"/>
        <c:majorTickMark val="out"/>
        <c:minorTickMark val="none"/>
        <c:tickLblPos val="nextTo"/>
        <c:crossAx val="4499714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[Walmart_Sourcing_Strategy.xlsx]Sourcing_Analytics!Savings_Slippage_Variance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77D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Sourcing_Analytics!$B$12</c:f>
              <c:strCache>
                <c:ptCount val="1"/>
                <c:pt idx="0">
                  <c:v>Target Savings</c:v>
                </c:pt>
              </c:strCache>
            </c:strRef>
          </c:tx>
          <c:spPr>
            <a:solidFill>
              <a:srgbClr val="000066"/>
            </a:solidFill>
            <a:ln>
              <a:noFill/>
            </a:ln>
            <a:effectLst/>
          </c:spPr>
          <c:invertIfNegative val="0"/>
          <c:cat>
            <c:strRef>
              <c:f>Sourcing_Analytics!$A$13:$A$19</c:f>
              <c:strCache>
                <c:ptCount val="6"/>
                <c:pt idx="0">
                  <c:v>Technology Hardware</c:v>
                </c:pt>
                <c:pt idx="1">
                  <c:v>Facility Maintenance</c:v>
                </c:pt>
                <c:pt idx="2">
                  <c:v>Logistics Services</c:v>
                </c:pt>
                <c:pt idx="3">
                  <c:v>Office Supplies</c:v>
                </c:pt>
                <c:pt idx="4">
                  <c:v>Store Fixtures</c:v>
                </c:pt>
                <c:pt idx="5">
                  <c:v>Packaging Materials</c:v>
                </c:pt>
              </c:strCache>
            </c:strRef>
          </c:cat>
          <c:val>
            <c:numRef>
              <c:f>Sourcing_Analytics!$B$13:$B$19</c:f>
              <c:numCache>
                <c:formatCode>"$"#,##0</c:formatCode>
                <c:ptCount val="6"/>
                <c:pt idx="0">
                  <c:v>11799356.669183999</c:v>
                </c:pt>
                <c:pt idx="1">
                  <c:v>10179221.077326002</c:v>
                </c:pt>
                <c:pt idx="2">
                  <c:v>7956702.000682001</c:v>
                </c:pt>
                <c:pt idx="3">
                  <c:v>2882264.6677310001</c:v>
                </c:pt>
                <c:pt idx="4">
                  <c:v>1261438.5251259999</c:v>
                </c:pt>
                <c:pt idx="5">
                  <c:v>177994.003432</c:v>
                </c:pt>
              </c:numCache>
            </c:numRef>
          </c:val>
          <c:extLst>
            <c:ext xmlns:c16="http://schemas.microsoft.com/office/drawing/2014/chart" uri="{C3380CC4-5D6E-409C-BE32-E72D297353CC}">
              <c16:uniqueId val="{00000000-5E12-45D9-A829-B51A072D51FE}"/>
            </c:ext>
          </c:extLst>
        </c:ser>
        <c:ser>
          <c:idx val="1"/>
          <c:order val="1"/>
          <c:tx>
            <c:strRef>
              <c:f>Sourcing_Analytics!$C$12</c:f>
              <c:strCache>
                <c:ptCount val="1"/>
                <c:pt idx="0">
                  <c:v>Savings Spillage</c:v>
                </c:pt>
              </c:strCache>
            </c:strRef>
          </c:tx>
          <c:spPr>
            <a:solidFill>
              <a:srgbClr val="F77D69"/>
            </a:solidFill>
            <a:ln>
              <a:noFill/>
            </a:ln>
            <a:effectLst/>
          </c:spPr>
          <c:invertIfNegative val="0"/>
          <c:cat>
            <c:strRef>
              <c:f>Sourcing_Analytics!$A$13:$A$19</c:f>
              <c:strCache>
                <c:ptCount val="6"/>
                <c:pt idx="0">
                  <c:v>Technology Hardware</c:v>
                </c:pt>
                <c:pt idx="1">
                  <c:v>Facility Maintenance</c:v>
                </c:pt>
                <c:pt idx="2">
                  <c:v>Logistics Services</c:v>
                </c:pt>
                <c:pt idx="3">
                  <c:v>Office Supplies</c:v>
                </c:pt>
                <c:pt idx="4">
                  <c:v>Store Fixtures</c:v>
                </c:pt>
                <c:pt idx="5">
                  <c:v>Packaging Materials</c:v>
                </c:pt>
              </c:strCache>
            </c:strRef>
          </c:cat>
          <c:val>
            <c:numRef>
              <c:f>Sourcing_Analytics!$C$13:$C$19</c:f>
              <c:numCache>
                <c:formatCode>"$"#,##0</c:formatCode>
                <c:ptCount val="6"/>
                <c:pt idx="0">
                  <c:v>10793093.949183999</c:v>
                </c:pt>
                <c:pt idx="1">
                  <c:v>9078725.3473260012</c:v>
                </c:pt>
                <c:pt idx="2">
                  <c:v>7172429.4106820012</c:v>
                </c:pt>
                <c:pt idx="3">
                  <c:v>2405783.4977310002</c:v>
                </c:pt>
                <c:pt idx="4">
                  <c:v>957746.095126</c:v>
                </c:pt>
                <c:pt idx="5">
                  <c:v>120743.70343199999</c:v>
                </c:pt>
              </c:numCache>
            </c:numRef>
          </c:val>
          <c:extLst>
            <c:ext xmlns:c16="http://schemas.microsoft.com/office/drawing/2014/chart" uri="{C3380CC4-5D6E-409C-BE32-E72D297353CC}">
              <c16:uniqueId val="{00000001-5E12-45D9-A829-B51A072D51FE}"/>
            </c:ext>
          </c:extLst>
        </c:ser>
        <c:dLbls>
          <c:showLegendKey val="0"/>
          <c:showVal val="0"/>
          <c:showCatName val="0"/>
          <c:showSerName val="0"/>
          <c:showPercent val="0"/>
          <c:showBubbleSize val="0"/>
        </c:dLbls>
        <c:gapWidth val="182"/>
        <c:axId val="858818992"/>
        <c:axId val="450001200"/>
      </c:barChart>
      <c:catAx>
        <c:axId val="85881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001200"/>
        <c:crosses val="autoZero"/>
        <c:auto val="1"/>
        <c:lblAlgn val="ctr"/>
        <c:lblOffset val="100"/>
        <c:noMultiLvlLbl val="0"/>
      </c:catAx>
      <c:valAx>
        <c:axId val="4500012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1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853439</xdr:colOff>
      <xdr:row>6</xdr:row>
      <xdr:rowOff>60960</xdr:rowOff>
    </xdr:from>
    <xdr:to>
      <xdr:col>8</xdr:col>
      <xdr:colOff>85166</xdr:colOff>
      <xdr:row>22</xdr:row>
      <xdr:rowOff>7620</xdr:rowOff>
    </xdr:to>
    <xdr:graphicFrame macro="">
      <xdr:nvGraphicFramePr>
        <xdr:cNvPr id="2" name="Chart 1">
          <a:extLst>
            <a:ext uri="{FF2B5EF4-FFF2-40B4-BE49-F238E27FC236}">
              <a16:creationId xmlns:a16="http://schemas.microsoft.com/office/drawing/2014/main" id="{BEC67F72-86A0-4802-A2D5-57784889F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6</xdr:row>
      <xdr:rowOff>68580</xdr:rowOff>
    </xdr:from>
    <xdr:to>
      <xdr:col>14</xdr:col>
      <xdr:colOff>38100</xdr:colOff>
      <xdr:row>22</xdr:row>
      <xdr:rowOff>22860</xdr:rowOff>
    </xdr:to>
    <xdr:graphicFrame macro="">
      <xdr:nvGraphicFramePr>
        <xdr:cNvPr id="3" name="Chart 2">
          <a:extLst>
            <a:ext uri="{FF2B5EF4-FFF2-40B4-BE49-F238E27FC236}">
              <a16:creationId xmlns:a16="http://schemas.microsoft.com/office/drawing/2014/main" id="{C05DD1A3-45CC-4996-A319-973D8F962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xdr:row>
      <xdr:rowOff>129540</xdr:rowOff>
    </xdr:from>
    <xdr:to>
      <xdr:col>1</xdr:col>
      <xdr:colOff>845820</xdr:colOff>
      <xdr:row>22</xdr:row>
      <xdr:rowOff>0</xdr:rowOff>
    </xdr:to>
    <mc:AlternateContent xmlns:mc="http://schemas.openxmlformats.org/markup-compatibility/2006" xmlns:a14="http://schemas.microsoft.com/office/drawing/2010/main">
      <mc:Choice Requires="a14">
        <xdr:graphicFrame macro="">
          <xdr:nvGraphicFramePr>
            <xdr:cNvPr id="4" name="Supplier Region">
              <a:extLst>
                <a:ext uri="{FF2B5EF4-FFF2-40B4-BE49-F238E27FC236}">
                  <a16:creationId xmlns:a16="http://schemas.microsoft.com/office/drawing/2014/main" id="{C5CF79F2-1E0C-E02B-C40C-C2D09B220BA5}"/>
                </a:ext>
              </a:extLst>
            </xdr:cNvPr>
            <xdr:cNvGraphicFramePr/>
          </xdr:nvGraphicFramePr>
          <xdr:xfrm>
            <a:off x="0" y="0"/>
            <a:ext cx="0" cy="0"/>
          </xdr:xfrm>
          <a:graphic>
            <a:graphicData uri="http://schemas.microsoft.com/office/drawing/2010/slicer">
              <sle:slicer xmlns:sle="http://schemas.microsoft.com/office/drawing/2010/slicer" name="Supplier Region"/>
            </a:graphicData>
          </a:graphic>
        </xdr:graphicFrame>
      </mc:Choice>
      <mc:Fallback xmlns="">
        <xdr:sp macro="" textlink="">
          <xdr:nvSpPr>
            <xdr:cNvPr id="0" name=""/>
            <xdr:cNvSpPr>
              <a:spLocks noTextEdit="1"/>
            </xdr:cNvSpPr>
          </xdr:nvSpPr>
          <xdr:spPr>
            <a:xfrm>
              <a:off x="0" y="2148840"/>
              <a:ext cx="1722120" cy="2065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xdr:row>
      <xdr:rowOff>175260</xdr:rowOff>
    </xdr:from>
    <xdr:to>
      <xdr:col>1</xdr:col>
      <xdr:colOff>822960</xdr:colOff>
      <xdr:row>10</xdr:row>
      <xdr:rowOff>53339</xdr:rowOff>
    </xdr:to>
    <mc:AlternateContent xmlns:mc="http://schemas.openxmlformats.org/markup-compatibility/2006" xmlns:a14="http://schemas.microsoft.com/office/drawing/2010/main">
      <mc:Choice Requires="a14">
        <xdr:graphicFrame macro="">
          <xdr:nvGraphicFramePr>
            <xdr:cNvPr id="5" name="Contract Status">
              <a:extLst>
                <a:ext uri="{FF2B5EF4-FFF2-40B4-BE49-F238E27FC236}">
                  <a16:creationId xmlns:a16="http://schemas.microsoft.com/office/drawing/2014/main" id="{48F89322-4E23-875D-D4A9-CE3DF0086EDF}"/>
                </a:ext>
              </a:extLst>
            </xdr:cNvPr>
            <xdr:cNvGraphicFramePr/>
          </xdr:nvGraphicFramePr>
          <xdr:xfrm>
            <a:off x="0" y="0"/>
            <a:ext cx="0" cy="0"/>
          </xdr:xfrm>
          <a:graphic>
            <a:graphicData uri="http://schemas.microsoft.com/office/drawing/2010/slicer">
              <sle:slicer xmlns:sle="http://schemas.microsoft.com/office/drawing/2010/slicer" name="Contract Status"/>
            </a:graphicData>
          </a:graphic>
        </xdr:graphicFrame>
      </mc:Choice>
      <mc:Fallback xmlns="">
        <xdr:sp macro="" textlink="">
          <xdr:nvSpPr>
            <xdr:cNvPr id="0" name=""/>
            <xdr:cNvSpPr>
              <a:spLocks noTextEdit="1"/>
            </xdr:cNvSpPr>
          </xdr:nvSpPr>
          <xdr:spPr>
            <a:xfrm>
              <a:off x="76200" y="624840"/>
              <a:ext cx="162306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838200</xdr:colOff>
      <xdr:row>22</xdr:row>
      <xdr:rowOff>38100</xdr:rowOff>
    </xdr:from>
    <xdr:to>
      <xdr:col>14</xdr:col>
      <xdr:colOff>38100</xdr:colOff>
      <xdr:row>27</xdr:row>
      <xdr:rowOff>15240</xdr:rowOff>
    </xdr:to>
    <xdr:sp macro="" textlink="">
      <xdr:nvSpPr>
        <xdr:cNvPr id="6" name="TextBox 5">
          <a:extLst>
            <a:ext uri="{FF2B5EF4-FFF2-40B4-BE49-F238E27FC236}">
              <a16:creationId xmlns:a16="http://schemas.microsoft.com/office/drawing/2014/main" id="{82A6A76D-65DB-3E6F-DECB-947D56924C91}"/>
            </a:ext>
          </a:extLst>
        </xdr:cNvPr>
        <xdr:cNvSpPr txBox="1"/>
      </xdr:nvSpPr>
      <xdr:spPr>
        <a:xfrm>
          <a:off x="1714500" y="4251960"/>
          <a:ext cx="10591800" cy="11049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latin typeface="Arial" panose="020B0604020202020204" pitchFamily="34" charset="0"/>
              <a:cs typeface="Arial" panose="020B0604020202020204" pitchFamily="34" charset="0"/>
            </a:rPr>
            <a:t>STRATEGIC RECOMMENDATIONS &amp; INSIGHTS</a:t>
          </a:r>
        </a:p>
        <a:p>
          <a:pPr lvl="0" algn="l"/>
          <a:r>
            <a:rPr lang="en-US" sz="900" b="1"/>
            <a:t>Vendor Fragmentation Risk:</a:t>
          </a:r>
          <a:r>
            <a:rPr lang="en-US" sz="900"/>
            <a:t> Sourcing models show critical supplier saturation in </a:t>
          </a:r>
          <a:r>
            <a:rPr lang="en-US" sz="900" i="1"/>
            <a:t>Technology Hardware</a:t>
          </a:r>
          <a:r>
            <a:rPr lang="en-US" sz="900"/>
            <a:t> and </a:t>
          </a:r>
          <a:r>
            <a:rPr lang="en-US" sz="900" i="1"/>
            <a:t>Logistics Services</a:t>
          </a:r>
          <a:r>
            <a:rPr lang="en-US" sz="900"/>
            <a:t> (30+ vendors each). Implementing a structural consolidation framework to move volume to top-tier providers targets an immediate 8–12% cost reduction.</a:t>
          </a:r>
        </a:p>
        <a:p>
          <a:pPr lvl="0"/>
          <a:r>
            <a:rPr lang="en-US" sz="900" b="1"/>
            <a:t>Savings Slippage (Value Leakage):</a:t>
          </a:r>
          <a:r>
            <a:rPr lang="en-US" sz="900"/>
            <a:t> A baseline variance audit isolates a combined </a:t>
          </a:r>
          <a:r>
            <a:rPr lang="en-US" sz="900" b="1"/>
            <a:t>$2.7 Billion</a:t>
          </a:r>
          <a:r>
            <a:rPr lang="en-US" sz="900"/>
            <a:t> in uncaptured discounts, heavily concentrated in </a:t>
          </a:r>
          <a:r>
            <a:rPr lang="en-US" sz="900" i="1"/>
            <a:t>Facility Maintenance</a:t>
          </a:r>
          <a:r>
            <a:rPr lang="en-US" sz="900"/>
            <a:t>. Recommendation: Deploy an immediate cross-functional task force to audit vendor invoice tracking metrics and recover leaked capital</a:t>
          </a:r>
        </a:p>
        <a:p>
          <a:pPr lvl="0"/>
          <a:r>
            <a:rPr lang="en-US" sz="900" b="1"/>
            <a:t>Negotiation Capacity Timeline:</a:t>
          </a:r>
          <a:r>
            <a:rPr lang="en-US" sz="900"/>
            <a:t> Active contract filtering confirms </a:t>
          </a:r>
          <a:r>
            <a:rPr lang="en-US" sz="900" b="1"/>
            <a:t>9 legacy contracts are operating in a 2025 backlog</a:t>
          </a:r>
          <a:r>
            <a:rPr lang="en-US" sz="900"/>
            <a:t>. Sourcing teams must be structurally realigned to finalize these agreements immediately to mitigate legal pricing exposure.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kena mugambi" refreshedDate="46219.311833101849" createdVersion="8" refreshedVersion="8" minRefreshableVersion="3" recordCount="150" xr:uid="{0CBB50E9-6FFC-4561-BF41-7E0728039811}">
  <cacheSource type="worksheet">
    <worksheetSource ref="A1:J151" sheet="Cleaned_Data"/>
  </cacheSource>
  <cacheFields count="15">
    <cacheField name="Transaction ID" numFmtId="0">
      <sharedItems count="150">
        <s v="TXN-1000"/>
        <s v="TXN-1001"/>
        <s v="TXN-1002"/>
        <s v="TXN-1003"/>
        <s v="TXN-1004"/>
        <s v="TXN-1005"/>
        <s v="TXN-1006"/>
        <s v="TXN-1007"/>
        <s v="TXN-1008"/>
        <s v="TXN-1009"/>
        <s v="TXN-1010"/>
        <s v="TXN-1011"/>
        <s v="TXN-1012"/>
        <s v="TXN-1013"/>
        <s v="TXN-1014"/>
        <s v="TXN-1015"/>
        <s v="TXN-1016"/>
        <s v="TXN-1017"/>
        <s v="TXN-1018"/>
        <s v="TXN-1019"/>
        <s v="TXN-1020"/>
        <s v="TXN-1021"/>
        <s v="TXN-1022"/>
        <s v="TXN-1023"/>
        <s v="TXN-1024"/>
        <s v="TXN-1025"/>
        <s v="TXN-1026"/>
        <s v="TXN-1027"/>
        <s v="TXN-1028"/>
        <s v="TXN-1029"/>
        <s v="TXN-1030"/>
        <s v="TXN-1031"/>
        <s v="TXN-1032"/>
        <s v="TXN-1033"/>
        <s v="TXN-1034"/>
        <s v="TXN-1035"/>
        <s v="TXN-1036"/>
        <s v="TXN-1037"/>
        <s v="TXN-1038"/>
        <s v="TXN-1039"/>
        <s v="TXN-1040"/>
        <s v="TXN-1041"/>
        <s v="TXN-1042"/>
        <s v="TXN-1043"/>
        <s v="TXN-1044"/>
        <s v="TXN-1045"/>
        <s v="TXN-1046"/>
        <s v="TXN-1047"/>
        <s v="TXN-1048"/>
        <s v="TXN-1049"/>
        <s v="TXN-1050"/>
        <s v="TXN-1051"/>
        <s v="TXN-1052"/>
        <s v="TXN-1053"/>
        <s v="TXN-1054"/>
        <s v="TXN-1055"/>
        <s v="TXN-1056"/>
        <s v="TXN-1057"/>
        <s v="TXN-1058"/>
        <s v="TXN-1059"/>
        <s v="TXN-1060"/>
        <s v="TXN-1061"/>
        <s v="TXN-1062"/>
        <s v="TXN-1063"/>
        <s v="TXN-1064"/>
        <s v="TXN-1065"/>
        <s v="TXN-1066"/>
        <s v="TXN-1067"/>
        <s v="TXN-1068"/>
        <s v="TXN-1069"/>
        <s v="TXN-1070"/>
        <s v="TXN-1071"/>
        <s v="TXN-1072"/>
        <s v="TXN-1073"/>
        <s v="TXN-1074"/>
        <s v="TXN-1075"/>
        <s v="TXN-1076"/>
        <s v="TXN-1077"/>
        <s v="TXN-1078"/>
        <s v="TXN-1079"/>
        <s v="TXN-1080"/>
        <s v="TXN-1081"/>
        <s v="TXN-1082"/>
        <s v="TXN-1083"/>
        <s v="TXN-1084"/>
        <s v="TXN-1085"/>
        <s v="TXN-1086"/>
        <s v="TXN-1087"/>
        <s v="TXN-1088"/>
        <s v="TXN-1089"/>
        <s v="TXN-1090"/>
        <s v="TXN-1091"/>
        <s v="TXN-1092"/>
        <s v="TXN-1093"/>
        <s v="TXN-1094"/>
        <s v="TXN-1095"/>
        <s v="TXN-1096"/>
        <s v="TXN-1097"/>
        <s v="TXN-1098"/>
        <s v="TXN-1099"/>
        <s v="TXN-1100"/>
        <s v="TXN-1101"/>
        <s v="TXN-1102"/>
        <s v="TXN-1103"/>
        <s v="TXN-1104"/>
        <s v="TXN-1105"/>
        <s v="TXN-1106"/>
        <s v="TXN-1107"/>
        <s v="TXN-1108"/>
        <s v="TXN-1109"/>
        <s v="TXN-1110"/>
        <s v="TXN-1111"/>
        <s v="TXN-1112"/>
        <s v="TXN-1113"/>
        <s v="TXN-1114"/>
        <s v="TXN-1115"/>
        <s v="TXN-1116"/>
        <s v="TXN-1117"/>
        <s v="TXN-1118"/>
        <s v="TXN-1119"/>
        <s v="TXN-1120"/>
        <s v="TXN-1121"/>
        <s v="TXN-1122"/>
        <s v="TXN-1123"/>
        <s v="TXN-1124"/>
        <s v="TXN-1125"/>
        <s v="TXN-1126"/>
        <s v="TXN-1127"/>
        <s v="TXN-1128"/>
        <s v="TXN-1129"/>
        <s v="TXN-1130"/>
        <s v="TXN-1131"/>
        <s v="TXN-1132"/>
        <s v="TXN-1133"/>
        <s v="TXN-1134"/>
        <s v="TXN-1135"/>
        <s v="TXN-1136"/>
        <s v="TXN-1137"/>
        <s v="TXN-1138"/>
        <s v="TXN-1139"/>
        <s v="TXN-1140"/>
        <s v="TXN-1141"/>
        <s v="TXN-1142"/>
        <s v="TXN-1143"/>
        <s v="TXN-1144"/>
        <s v="TXN-1145"/>
        <s v="TXN-1146"/>
        <s v="TXN-1147"/>
        <s v="TXN-1148"/>
        <s v="TXN-1149"/>
      </sharedItems>
    </cacheField>
    <cacheField name="Supplier Name" numFmtId="0">
      <sharedItems/>
    </cacheField>
    <cacheField name="Category" numFmtId="0">
      <sharedItems count="6">
        <s v="Office Supplies"/>
        <s v="Store Fixtures"/>
        <s v="Technology Hardware"/>
        <s v="Facility Maintenance"/>
        <s v="Logistics Services"/>
        <s v="Packaging Materials"/>
      </sharedItems>
    </cacheField>
    <cacheField name="Supplier Region" numFmtId="0">
      <sharedItems count="5">
        <s v="Latin America"/>
        <s v="North America"/>
        <s v="Europe"/>
        <s v="Unassigned"/>
        <s v="Asia-Pacific"/>
      </sharedItems>
    </cacheField>
    <cacheField name="Annual Spend (USD)  " numFmtId="165">
      <sharedItems containsSemiMixedTypes="0" containsString="0" containsNumber="1" minValue="50000" maxValue="25000000"/>
    </cacheField>
    <cacheField name="Contract Savings Target %" numFmtId="10">
      <sharedItems containsSemiMixedTypes="0" containsString="0" containsNumber="1" minValue="2.1600000000000001E-2" maxValue="0.1497"/>
    </cacheField>
    <cacheField name="Current Savings Realized USD" numFmtId="165">
      <sharedItems containsSemiMixedTypes="0" containsString="0" containsNumber="1" minValue="0" maxValue="2420133.2599999998"/>
    </cacheField>
    <cacheField name="Contract Status" numFmtId="0">
      <sharedItems count="4">
        <s v="Under Review"/>
        <s v="Terminated"/>
        <s v="Active"/>
        <s v="Expired"/>
      </sharedItems>
    </cacheField>
    <cacheField name="Contract Renewal Date" numFmtId="14">
      <sharedItems containsSemiMixedTypes="0" containsNonDate="0" containsDate="1" containsString="0" minDate="2025-09-25T00:00:00" maxDate="2027-05-10T00:00:00" count="134">
        <d v="2026-07-06T00:00:00"/>
        <d v="2026-03-09T00:00:00"/>
        <d v="2026-06-17T00:00:00"/>
        <d v="2026-12-21T00:00:00"/>
        <d v="2026-10-28T00:00:00"/>
        <d v="2027-01-11T00:00:00"/>
        <d v="2027-04-03T00:00:00"/>
        <d v="2027-04-21T00:00:00"/>
        <d v="2026-01-30T00:00:00"/>
        <d v="2026-09-20T00:00:00"/>
        <d v="2026-07-11T00:00:00"/>
        <d v="2026-09-28T00:00:00"/>
        <d v="2025-10-21T00:00:00"/>
        <d v="2026-02-18T00:00:00"/>
        <d v="2026-07-15T00:00:00"/>
        <d v="2025-10-03T00:00:00"/>
        <d v="2027-02-16T00:00:00"/>
        <d v="2026-01-13T00:00:00"/>
        <d v="2026-03-28T00:00:00"/>
        <d v="2026-05-07T00:00:00"/>
        <d v="2026-07-29T00:00:00"/>
        <d v="2025-12-29T00:00:00"/>
        <d v="2025-11-16T00:00:00"/>
        <d v="2026-11-02T00:00:00"/>
        <d v="2025-11-30T00:00:00"/>
        <d v="2026-07-31T00:00:00"/>
        <d v="2026-07-08T00:00:00"/>
        <d v="2027-03-24T00:00:00"/>
        <d v="2026-02-17T00:00:00"/>
        <d v="2027-01-02T00:00:00"/>
        <d v="2026-05-24T00:00:00"/>
        <d v="2027-01-26T00:00:00"/>
        <d v="2027-02-11T00:00:00"/>
        <d v="2026-09-22T00:00:00"/>
        <d v="2027-01-17T00:00:00"/>
        <d v="2026-04-11T00:00:00"/>
        <d v="2026-02-23T00:00:00"/>
        <d v="2026-12-16T00:00:00"/>
        <d v="2027-02-05T00:00:00"/>
        <d v="2025-12-04T00:00:00"/>
        <d v="2025-10-09T00:00:00"/>
        <d v="2026-04-27T00:00:00"/>
        <d v="2025-11-22T00:00:00"/>
        <d v="2025-11-03T00:00:00"/>
        <d v="2025-10-17T00:00:00"/>
        <d v="2025-10-31T00:00:00"/>
        <d v="2026-01-31T00:00:00"/>
        <d v="2027-02-02T00:00:00"/>
        <d v="2026-05-09T00:00:00"/>
        <d v="2026-01-08T00:00:00"/>
        <d v="2026-03-13T00:00:00"/>
        <d v="2026-12-01T00:00:00"/>
        <d v="2027-01-13T00:00:00"/>
        <d v="2026-01-02T00:00:00"/>
        <d v="2027-02-28T00:00:00"/>
        <d v="2026-06-24T00:00:00"/>
        <d v="2025-11-05T00:00:00"/>
        <d v="2026-08-18T00:00:00"/>
        <d v="2027-04-14T00:00:00"/>
        <d v="2027-02-01T00:00:00"/>
        <d v="2025-10-04T00:00:00"/>
        <d v="2026-08-06T00:00:00"/>
        <d v="2027-05-07T00:00:00"/>
        <d v="2026-04-26T00:00:00"/>
        <d v="2026-08-27T00:00:00"/>
        <d v="2025-12-12T00:00:00"/>
        <d v="2027-01-20T00:00:00"/>
        <d v="2026-10-01T00:00:00"/>
        <d v="2026-04-10T00:00:00"/>
        <d v="2027-03-13T00:00:00"/>
        <d v="2027-01-01T00:00:00"/>
        <d v="2025-12-20T00:00:00"/>
        <d v="2027-04-16T00:00:00"/>
        <d v="2027-01-24T00:00:00"/>
        <d v="2027-03-14T00:00:00"/>
        <d v="2025-11-08T00:00:00"/>
        <d v="2026-07-07T00:00:00"/>
        <d v="2025-10-08T00:00:00"/>
        <d v="2025-12-17T00:00:00"/>
        <d v="2026-05-30T00:00:00"/>
        <d v="2026-10-18T00:00:00"/>
        <d v="2026-08-23T00:00:00"/>
        <d v="2027-02-23T00:00:00"/>
        <d v="2026-02-06T00:00:00"/>
        <d v="2027-01-12T00:00:00"/>
        <d v="2027-05-09T00:00:00"/>
        <d v="2026-05-03T00:00:00"/>
        <d v="2026-09-29T00:00:00"/>
        <d v="2026-10-29T00:00:00"/>
        <d v="2026-12-09T00:00:00"/>
        <d v="2027-01-25T00:00:00"/>
        <d v="2026-06-22T00:00:00"/>
        <d v="2027-03-02T00:00:00"/>
        <d v="2026-02-28T00:00:00"/>
        <d v="2026-02-21T00:00:00"/>
        <d v="2026-03-29T00:00:00"/>
        <d v="2026-03-12T00:00:00"/>
        <d v="2026-03-24T00:00:00"/>
        <d v="2026-09-21T00:00:00"/>
        <d v="2027-03-03T00:00:00"/>
        <d v="2027-02-20T00:00:00"/>
        <d v="2026-09-06T00:00:00"/>
        <d v="2026-10-24T00:00:00"/>
        <d v="2026-03-02T00:00:00"/>
        <d v="2027-01-28T00:00:00"/>
        <d v="2026-11-22T00:00:00"/>
        <d v="2026-07-30T00:00:00"/>
        <d v="2026-03-11T00:00:00"/>
        <d v="2027-03-22T00:00:00"/>
        <d v="2026-11-10T00:00:00"/>
        <d v="2026-05-31T00:00:00"/>
        <d v="2026-02-10T00:00:00"/>
        <d v="2026-06-23T00:00:00"/>
        <d v="2026-11-12T00:00:00"/>
        <d v="2026-05-25T00:00:00"/>
        <d v="2026-06-21T00:00:00"/>
        <d v="2026-12-06T00:00:00"/>
        <d v="2026-05-19T00:00:00"/>
        <d v="2026-10-04T00:00:00"/>
        <d v="2026-06-15T00:00:00"/>
        <d v="2026-09-16T00:00:00"/>
        <d v="2026-08-28T00:00:00"/>
        <d v="2026-10-16T00:00:00"/>
        <d v="2027-04-22T00:00:00"/>
        <d v="2025-09-25T00:00:00"/>
        <d v="2026-11-25T00:00:00"/>
        <d v="2026-02-11T00:00:00"/>
        <d v="2026-10-03T00:00:00"/>
        <d v="2026-08-12T00:00:00"/>
        <d v="2026-02-15T00:00:00"/>
        <d v="2026-07-12T00:00:00"/>
        <d v="2026-11-28T00:00:00"/>
        <d v="2027-04-30T00:00:00"/>
        <d v="2026-10-26T00:00:00"/>
      </sharedItems>
      <fieldGroup par="14"/>
    </cacheField>
    <cacheField name="Days to Renewal" numFmtId="0">
      <sharedItems containsSemiMixedTypes="0" containsString="0" containsNumber="1" containsInteger="1" minValue="-294" maxValue="297"/>
    </cacheField>
    <cacheField name="Target_Savings" numFmtId="0" formula="'Annual Spend (USD)  '*'Contract Savings Target %'" databaseField="0"/>
    <cacheField name="Savings_spillage" numFmtId="0" formula="Target_Savings-'Current Savings Realized USD'" databaseField="0"/>
    <cacheField name="Months (Contract Renewal Date)" numFmtId="0" databaseField="0">
      <fieldGroup base="8">
        <rangePr groupBy="months" startDate="2025-09-25T00:00:00" endDate="2027-05-10T00:00:00"/>
        <groupItems count="14">
          <s v="&lt;9/25/2025"/>
          <s v="Jan"/>
          <s v="Feb"/>
          <s v="Mar"/>
          <s v="Apr"/>
          <s v="May"/>
          <s v="Jun"/>
          <s v="Jul"/>
          <s v="Aug"/>
          <s v="Sep"/>
          <s v="Oct"/>
          <s v="Nov"/>
          <s v="Dec"/>
          <s v="&gt;5/10/2027"/>
        </groupItems>
      </fieldGroup>
    </cacheField>
    <cacheField name="Quarters (Contract Renewal Date)" numFmtId="0" databaseField="0">
      <fieldGroup base="8">
        <rangePr groupBy="quarters" startDate="2025-09-25T00:00:00" endDate="2027-05-10T00:00:00"/>
        <groupItems count="6">
          <s v="&lt;9/25/2025"/>
          <s v="Qtr1"/>
          <s v="Qtr2"/>
          <s v="Qtr3"/>
          <s v="Qtr4"/>
          <s v="&gt;5/10/2027"/>
        </groupItems>
      </fieldGroup>
    </cacheField>
    <cacheField name="Years (Contract Renewal Date)" numFmtId="0" databaseField="0">
      <fieldGroup base="8">
        <rangePr groupBy="years" startDate="2025-09-25T00:00:00" endDate="2027-05-10T00:00:00"/>
        <groupItems count="5">
          <s v="&lt;9/25/2025"/>
          <s v="2025"/>
          <s v="2026"/>
          <s v="2027"/>
          <s v="&gt;5/10/2027"/>
        </groupItems>
      </fieldGroup>
    </cacheField>
  </cacheFields>
  <extLst>
    <ext xmlns:x14="http://schemas.microsoft.com/office/spreadsheetml/2009/9/main" uri="{725AE2AE-9491-48be-B2B4-4EB974FC3084}">
      <x14:pivotCacheDefinition pivotCacheId="1497881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 Supplier Delta Co. "/>
    <x v="0"/>
    <x v="0"/>
    <n v="780000.66"/>
    <n v="0.1404"/>
    <n v="93493.83"/>
    <x v="0"/>
    <x v="0"/>
    <n v="-10"/>
  </r>
  <r>
    <x v="1"/>
    <s v=" Supplier Sigma Co. "/>
    <x v="0"/>
    <x v="0"/>
    <n v="1332825.58"/>
    <n v="0.1138"/>
    <n v="147407.24"/>
    <x v="1"/>
    <x v="1"/>
    <n v="-129"/>
  </r>
  <r>
    <x v="2"/>
    <s v=" Supplier Gamma Co. "/>
    <x v="1"/>
    <x v="1"/>
    <n v="1759222.59"/>
    <n v="2.63E-2"/>
    <n v="36426.519999999997"/>
    <x v="2"/>
    <x v="2"/>
    <n v="-29"/>
  </r>
  <r>
    <x v="3"/>
    <s v=" Supplier Sigma Co. "/>
    <x v="2"/>
    <x v="1"/>
    <n v="2001355.85"/>
    <n v="0.1216"/>
    <n v="262830.28000000003"/>
    <x v="3"/>
    <x v="3"/>
    <n v="158"/>
  </r>
  <r>
    <x v="4"/>
    <s v=" Supplier Sigma Co. "/>
    <x v="0"/>
    <x v="1"/>
    <n v="1175399.68"/>
    <n v="0.12759999999999999"/>
    <n v="152161.42000000001"/>
    <x v="3"/>
    <x v="4"/>
    <n v="104"/>
  </r>
  <r>
    <x v="5"/>
    <s v=" Supplier Beta Co. "/>
    <x v="0"/>
    <x v="2"/>
    <n v="2113123.9700000002"/>
    <n v="0.1176"/>
    <n v="182839.94"/>
    <x v="1"/>
    <x v="5"/>
    <n v="179"/>
  </r>
  <r>
    <x v="6"/>
    <s v=" Supplier Gamma Co. "/>
    <x v="2"/>
    <x v="1"/>
    <n v="1933848.47"/>
    <n v="0.1239"/>
    <n v="207744.26"/>
    <x v="1"/>
    <x v="6"/>
    <n v="261"/>
  </r>
  <r>
    <x v="7"/>
    <s v=" Supplier Gamma Co. "/>
    <x v="2"/>
    <x v="3"/>
    <n v="212278.15"/>
    <n v="0.1273"/>
    <n v="28418.67"/>
    <x v="0"/>
    <x v="7"/>
    <n v="279"/>
  </r>
  <r>
    <x v="8"/>
    <s v=" Supplier Gamma Co. "/>
    <x v="1"/>
    <x v="3"/>
    <n v="162360.1"/>
    <n v="4.4200000000000003E-2"/>
    <n v="7735.3"/>
    <x v="3"/>
    <x v="8"/>
    <n v="-167"/>
  </r>
  <r>
    <x v="9"/>
    <s v=" Supplier Sigma Co. "/>
    <x v="2"/>
    <x v="3"/>
    <n v="1570973.93"/>
    <n v="5.0599999999999999E-2"/>
    <n v="70505.63"/>
    <x v="2"/>
    <x v="9"/>
    <n v="66"/>
  </r>
  <r>
    <x v="10"/>
    <s v=" Supplier Delta Co. "/>
    <x v="3"/>
    <x v="3"/>
    <n v="25000000"/>
    <n v="0.1024"/>
    <n v="2420133.2599999998"/>
    <x v="1"/>
    <x v="10"/>
    <n v="-5"/>
  </r>
  <r>
    <x v="11"/>
    <s v=" Supplier Gamma Co. "/>
    <x v="4"/>
    <x v="1"/>
    <n v="562370.43999999994"/>
    <n v="0.13800000000000001"/>
    <n v="59510.19"/>
    <x v="2"/>
    <x v="11"/>
    <n v="74"/>
  </r>
  <r>
    <x v="12"/>
    <s v=" Supplier Omega Co. "/>
    <x v="4"/>
    <x v="1"/>
    <n v="1470142.34"/>
    <n v="6.1100000000000002E-2"/>
    <n v="98490.95"/>
    <x v="2"/>
    <x v="12"/>
    <n v="-268"/>
  </r>
  <r>
    <x v="13"/>
    <s v=" Supplier Sigma Co. "/>
    <x v="4"/>
    <x v="2"/>
    <n v="886829.87"/>
    <n v="9.6500000000000002E-2"/>
    <n v="67835.86"/>
    <x v="3"/>
    <x v="13"/>
    <n v="-148"/>
  </r>
  <r>
    <x v="14"/>
    <s v=" Supplier Beta Co. "/>
    <x v="3"/>
    <x v="4"/>
    <n v="1366295.37"/>
    <n v="0.10879999999999999"/>
    <n v="160112.99"/>
    <x v="3"/>
    <x v="14"/>
    <n v="-1"/>
  </r>
  <r>
    <x v="15"/>
    <s v=" Supplier Delta Co. "/>
    <x v="4"/>
    <x v="0"/>
    <n v="1177291.94"/>
    <n v="7.8799999999999995E-2"/>
    <n v="89046.67"/>
    <x v="1"/>
    <x v="15"/>
    <n v="-286"/>
  </r>
  <r>
    <x v="16"/>
    <s v=" Supplier Omega Co. "/>
    <x v="4"/>
    <x v="2"/>
    <n v="1482676.96"/>
    <n v="0.1128"/>
    <n v="157728.78"/>
    <x v="3"/>
    <x v="16"/>
    <n v="215"/>
  </r>
  <r>
    <x v="17"/>
    <s v=" Supplier Omega Co. "/>
    <x v="2"/>
    <x v="1"/>
    <n v="1030736.2"/>
    <n v="0.13700000000000001"/>
    <n v="127806.48"/>
    <x v="3"/>
    <x v="17"/>
    <n v="-184"/>
  </r>
  <r>
    <x v="18"/>
    <s v=" Supplier Beta Co. "/>
    <x v="1"/>
    <x v="3"/>
    <n v="1759285.56"/>
    <n v="0.1011"/>
    <n v="140915.76"/>
    <x v="3"/>
    <x v="18"/>
    <n v="-110"/>
  </r>
  <r>
    <x v="19"/>
    <s v=" Supplier Delta Co. "/>
    <x v="4"/>
    <x v="1"/>
    <n v="491164.82"/>
    <n v="9.0200000000000002E-2"/>
    <n v="34140.44"/>
    <x v="2"/>
    <x v="19"/>
    <n v="-70"/>
  </r>
  <r>
    <x v="20"/>
    <s v=" Supplier Sigma Co. "/>
    <x v="3"/>
    <x v="2"/>
    <n v="1756428.59"/>
    <n v="7.6999999999999999E-2"/>
    <n v="106599.36"/>
    <x v="1"/>
    <x v="20"/>
    <n v="13"/>
  </r>
  <r>
    <x v="21"/>
    <s v=" Supplier Alpha Co. "/>
    <x v="2"/>
    <x v="0"/>
    <n v="1058569.98"/>
    <n v="9.5100000000000004E-2"/>
    <n v="77976.5"/>
    <x v="0"/>
    <x v="21"/>
    <n v="-199"/>
  </r>
  <r>
    <x v="22"/>
    <s v=" Supplier Delta Co. "/>
    <x v="5"/>
    <x v="1"/>
    <n v="2192078.13"/>
    <n v="6.6199999999999995E-2"/>
    <n v="146832.84"/>
    <x v="2"/>
    <x v="22"/>
    <n v="-242"/>
  </r>
  <r>
    <x v="23"/>
    <s v=" Supplier Beta Co. "/>
    <x v="0"/>
    <x v="0"/>
    <n v="1312328.33"/>
    <n v="7.0900000000000005E-2"/>
    <n v="78161.69"/>
    <x v="3"/>
    <x v="23"/>
    <n v="109"/>
  </r>
  <r>
    <x v="24"/>
    <s v=" Supplier Omega Co. "/>
    <x v="4"/>
    <x v="4"/>
    <n v="2434120.36"/>
    <n v="8.9099999999999999E-2"/>
    <n v="156834.06"/>
    <x v="2"/>
    <x v="24"/>
    <n v="-228"/>
  </r>
  <r>
    <x v="25"/>
    <s v=" Supplier Sigma Co. "/>
    <x v="5"/>
    <x v="4"/>
    <n v="1524741.72"/>
    <n v="2.87E-2"/>
    <n v="47595.27"/>
    <x v="3"/>
    <x v="25"/>
    <n v="15"/>
  </r>
  <r>
    <x v="26"/>
    <s v=" Supplier Delta Co. "/>
    <x v="3"/>
    <x v="1"/>
    <n v="598430.21"/>
    <n v="4.9799999999999997E-2"/>
    <n v="31396.65"/>
    <x v="3"/>
    <x v="26"/>
    <n v="-8"/>
  </r>
  <r>
    <x v="27"/>
    <s v=" Supplier Alpha Co. "/>
    <x v="4"/>
    <x v="4"/>
    <n v="2063387.06"/>
    <n v="9.06E-2"/>
    <n v="200234.68"/>
    <x v="2"/>
    <x v="27"/>
    <n v="251"/>
  </r>
  <r>
    <x v="28"/>
    <s v=" Supplier Alpha Co. "/>
    <x v="3"/>
    <x v="1"/>
    <n v="895452.44"/>
    <n v="7.6100000000000001E-2"/>
    <n v="74819.520000000004"/>
    <x v="1"/>
    <x v="28"/>
    <n v="-149"/>
  </r>
  <r>
    <x v="29"/>
    <s v=" Supplier Gamma Co. "/>
    <x v="2"/>
    <x v="2"/>
    <n v="901667.08"/>
    <n v="6.3299999999999995E-2"/>
    <n v="43922.93"/>
    <x v="3"/>
    <x v="29"/>
    <n v="170"/>
  </r>
  <r>
    <x v="30"/>
    <s v=" Supplier Gamma Co. "/>
    <x v="3"/>
    <x v="2"/>
    <n v="127921.47"/>
    <n v="0.115"/>
    <n v="12629.32"/>
    <x v="1"/>
    <x v="30"/>
    <n v="-53"/>
  </r>
  <r>
    <x v="31"/>
    <s v=" Supplier Beta Co. "/>
    <x v="2"/>
    <x v="1"/>
    <n v="1394352.51"/>
    <n v="0.11020000000000001"/>
    <n v="154164.01"/>
    <x v="0"/>
    <x v="31"/>
    <n v="194"/>
  </r>
  <r>
    <x v="32"/>
    <s v=" Supplier Delta Co. "/>
    <x v="1"/>
    <x v="4"/>
    <n v="1359337.58"/>
    <n v="4.1700000000000001E-2"/>
    <n v="55460.46"/>
    <x v="3"/>
    <x v="32"/>
    <n v="210"/>
  </r>
  <r>
    <x v="33"/>
    <s v=" Supplier Delta Co. "/>
    <x v="3"/>
    <x v="3"/>
    <n v="922179.14"/>
    <n v="0.13420000000000001"/>
    <n v="94247.75"/>
    <x v="1"/>
    <x v="33"/>
    <n v="68"/>
  </r>
  <r>
    <x v="34"/>
    <s v=" Supplier Omega Co. "/>
    <x v="2"/>
    <x v="3"/>
    <n v="2240832.29"/>
    <n v="8.4400000000000003E-2"/>
    <n v="194106.55"/>
    <x v="1"/>
    <x v="34"/>
    <n v="185"/>
  </r>
  <r>
    <x v="35"/>
    <s v=" Supplier Omega Co. "/>
    <x v="3"/>
    <x v="4"/>
    <n v="365433.58"/>
    <n v="0.1164"/>
    <n v="33594.29"/>
    <x v="0"/>
    <x v="35"/>
    <n v="-96"/>
  </r>
  <r>
    <x v="36"/>
    <s v=" Supplier Omega Co. "/>
    <x v="4"/>
    <x v="3"/>
    <n v="858743.81"/>
    <n v="9.4500000000000001E-2"/>
    <n v="64071.14"/>
    <x v="1"/>
    <x v="36"/>
    <n v="-143"/>
  </r>
  <r>
    <x v="37"/>
    <s v=" Supplier Gamma Co. "/>
    <x v="1"/>
    <x v="2"/>
    <n v="837877.77"/>
    <n v="0.1497"/>
    <n v="114742.36"/>
    <x v="1"/>
    <x v="37"/>
    <n v="153"/>
  </r>
  <r>
    <x v="38"/>
    <s v=" Supplier Delta Co. "/>
    <x v="0"/>
    <x v="0"/>
    <n v="276111.94"/>
    <n v="0.1178"/>
    <n v="30482.57"/>
    <x v="0"/>
    <x v="38"/>
    <n v="204"/>
  </r>
  <r>
    <x v="39"/>
    <s v=" Supplier Delta Co. "/>
    <x v="2"/>
    <x v="4"/>
    <n v="1228806.22"/>
    <n v="0.1119"/>
    <n v="128157.93"/>
    <x v="3"/>
    <x v="39"/>
    <n v="-224"/>
  </r>
  <r>
    <x v="40"/>
    <s v=" Supplier Alpha Co. "/>
    <x v="1"/>
    <x v="3"/>
    <n v="1735072.56"/>
    <n v="0.1212"/>
    <n v="154899.09"/>
    <x v="1"/>
    <x v="14"/>
    <n v="-1"/>
  </r>
  <r>
    <x v="41"/>
    <s v=" Supplier Gamma Co. "/>
    <x v="1"/>
    <x v="3"/>
    <n v="1303559.6799999999"/>
    <n v="3.8600000000000002E-2"/>
    <n v="52882.8"/>
    <x v="1"/>
    <x v="40"/>
    <n v="-280"/>
  </r>
  <r>
    <x v="42"/>
    <s v=" Supplier Sigma Co. "/>
    <x v="2"/>
    <x v="0"/>
    <n v="434595.32"/>
    <n v="4.6600000000000003E-2"/>
    <n v="16328.09"/>
    <x v="1"/>
    <x v="41"/>
    <n v="-80"/>
  </r>
  <r>
    <x v="43"/>
    <s v=" Supplier Gamma Co. "/>
    <x v="5"/>
    <x v="0"/>
    <n v="974350.61"/>
    <n v="0.1128"/>
    <n v="82628.55"/>
    <x v="2"/>
    <x v="42"/>
    <n v="-236"/>
  </r>
  <r>
    <x v="44"/>
    <s v=" Supplier Sigma Co. "/>
    <x v="1"/>
    <x v="0"/>
    <n v="56357.81"/>
    <n v="8.4199999999999997E-2"/>
    <n v="5008.6899999999996"/>
    <x v="0"/>
    <x v="43"/>
    <n v="-255"/>
  </r>
  <r>
    <x v="45"/>
    <s v=" Supplier Alpha Co. "/>
    <x v="4"/>
    <x v="1"/>
    <n v="50000"/>
    <n v="0.1181"/>
    <n v="0"/>
    <x v="2"/>
    <x v="44"/>
    <n v="-272"/>
  </r>
  <r>
    <x v="46"/>
    <s v=" Supplier Beta Co. "/>
    <x v="3"/>
    <x v="2"/>
    <n v="257066.67"/>
    <n v="3.3399999999999999E-2"/>
    <n v="8971.1200000000008"/>
    <x v="0"/>
    <x v="45"/>
    <n v="-258"/>
  </r>
  <r>
    <x v="47"/>
    <s v=" Supplier Delta Co. "/>
    <x v="2"/>
    <x v="3"/>
    <n v="1513331.3"/>
    <n v="8.9700000000000002E-2"/>
    <n v="138977.44"/>
    <x v="3"/>
    <x v="46"/>
    <n v="-166"/>
  </r>
  <r>
    <x v="48"/>
    <s v=" Supplier Alpha Co. "/>
    <x v="4"/>
    <x v="1"/>
    <n v="2466329.64"/>
    <n v="6.9199999999999998E-2"/>
    <n v="164201.07"/>
    <x v="3"/>
    <x v="47"/>
    <n v="201"/>
  </r>
  <r>
    <x v="49"/>
    <s v=" Supplier Delta Co. "/>
    <x v="4"/>
    <x v="1"/>
    <n v="1364647.08"/>
    <n v="7.9399999999999998E-2"/>
    <n v="99721.9"/>
    <x v="1"/>
    <x v="48"/>
    <n v="-68"/>
  </r>
  <r>
    <x v="50"/>
    <s v=" Supplier Omega Co. "/>
    <x v="3"/>
    <x v="2"/>
    <n v="2313902.31"/>
    <n v="9.8500000000000004E-2"/>
    <n v="167473.95000000001"/>
    <x v="0"/>
    <x v="49"/>
    <n v="-189"/>
  </r>
  <r>
    <x v="51"/>
    <s v=" Supplier Beta Co. "/>
    <x v="0"/>
    <x v="1"/>
    <n v="628485.51"/>
    <n v="8.5300000000000001E-2"/>
    <n v="46285.71"/>
    <x v="3"/>
    <x v="50"/>
    <n v="-125"/>
  </r>
  <r>
    <x v="52"/>
    <s v=" Supplier Beta Co. "/>
    <x v="4"/>
    <x v="0"/>
    <n v="1911890.75"/>
    <n v="9.0200000000000002E-2"/>
    <n v="146425.22"/>
    <x v="0"/>
    <x v="51"/>
    <n v="138"/>
  </r>
  <r>
    <x v="53"/>
    <s v=" Supplier Alpha Co. "/>
    <x v="1"/>
    <x v="2"/>
    <n v="1351601.1"/>
    <n v="8.3199999999999996E-2"/>
    <n v="90401.31"/>
    <x v="3"/>
    <x v="52"/>
    <n v="181"/>
  </r>
  <r>
    <x v="54"/>
    <s v=" Supplier Beta Co. "/>
    <x v="1"/>
    <x v="3"/>
    <n v="1815264.35"/>
    <n v="7.3200000000000001E-2"/>
    <n v="131464.6"/>
    <x v="2"/>
    <x v="53"/>
    <n v="-195"/>
  </r>
  <r>
    <x v="55"/>
    <s v=" Supplier Sigma Co. "/>
    <x v="3"/>
    <x v="2"/>
    <n v="202736.34"/>
    <n v="0.1203"/>
    <n v="21910.03"/>
    <x v="3"/>
    <x v="54"/>
    <n v="227"/>
  </r>
  <r>
    <x v="56"/>
    <s v=" Supplier Beta Co. "/>
    <x v="2"/>
    <x v="4"/>
    <n v="411960.78"/>
    <n v="2.1600000000000001E-2"/>
    <n v="6517.32"/>
    <x v="2"/>
    <x v="55"/>
    <n v="-22"/>
  </r>
  <r>
    <x v="57"/>
    <s v=" Supplier Delta Co. "/>
    <x v="2"/>
    <x v="1"/>
    <n v="376136.48"/>
    <n v="9.7799999999999998E-2"/>
    <n v="28990.18"/>
    <x v="3"/>
    <x v="56"/>
    <n v="-253"/>
  </r>
  <r>
    <x v="58"/>
    <s v=" Supplier Delta Co. "/>
    <x v="2"/>
    <x v="2"/>
    <n v="1733555.49"/>
    <n v="9.35E-2"/>
    <n v="157760.26999999999"/>
    <x v="1"/>
    <x v="40"/>
    <n v="-280"/>
  </r>
  <r>
    <x v="59"/>
    <s v=" Supplier Delta Co. "/>
    <x v="3"/>
    <x v="0"/>
    <n v="2118879.65"/>
    <n v="0.11310000000000001"/>
    <n v="175049.46"/>
    <x v="2"/>
    <x v="57"/>
    <n v="33"/>
  </r>
  <r>
    <x v="60"/>
    <s v=" Supplier Delta Co. "/>
    <x v="4"/>
    <x v="2"/>
    <n v="1886559.77"/>
    <n v="9.7900000000000001E-2"/>
    <n v="192171.13"/>
    <x v="3"/>
    <x v="58"/>
    <n v="272"/>
  </r>
  <r>
    <x v="61"/>
    <s v=" Supplier Sigma Co. "/>
    <x v="3"/>
    <x v="4"/>
    <n v="124656.77"/>
    <n v="0.1275"/>
    <n v="14273.51"/>
    <x v="1"/>
    <x v="59"/>
    <n v="200"/>
  </r>
  <r>
    <x v="62"/>
    <s v=" Supplier Gamma Co. "/>
    <x v="3"/>
    <x v="1"/>
    <n v="2174676.7000000002"/>
    <n v="0.1447"/>
    <n v="280764.57"/>
    <x v="2"/>
    <x v="60"/>
    <n v="-285"/>
  </r>
  <r>
    <x v="63"/>
    <s v=" Supplier Omega Co. "/>
    <x v="0"/>
    <x v="2"/>
    <n v="917659.34"/>
    <n v="6.4500000000000002E-2"/>
    <n v="55457.94"/>
    <x v="1"/>
    <x v="61"/>
    <n v="21"/>
  </r>
  <r>
    <x v="64"/>
    <s v=" Supplier Alpha Co. "/>
    <x v="4"/>
    <x v="4"/>
    <n v="1023051.39"/>
    <n v="4.9599999999999998E-2"/>
    <n v="52259.17"/>
    <x v="0"/>
    <x v="62"/>
    <n v="295"/>
  </r>
  <r>
    <x v="65"/>
    <s v=" Supplier Delta Co. "/>
    <x v="3"/>
    <x v="2"/>
    <n v="306929.46000000002"/>
    <n v="7.51E-2"/>
    <n v="19342.14"/>
    <x v="0"/>
    <x v="63"/>
    <n v="-81"/>
  </r>
  <r>
    <x v="66"/>
    <s v=" Supplier Beta Co. "/>
    <x v="2"/>
    <x v="2"/>
    <n v="1856642.75"/>
    <n v="5.74E-2"/>
    <n v="103502.73"/>
    <x v="2"/>
    <x v="64"/>
    <n v="42"/>
  </r>
  <r>
    <x v="67"/>
    <s v=" Supplier Delta Co. "/>
    <x v="1"/>
    <x v="4"/>
    <n v="496595.5"/>
    <n v="9.9900000000000003E-2"/>
    <n v="45953.279999999999"/>
    <x v="3"/>
    <x v="65"/>
    <n v="-216"/>
  </r>
  <r>
    <x v="68"/>
    <s v=" Supplier Beta Co. "/>
    <x v="4"/>
    <x v="1"/>
    <n v="1431714.48"/>
    <n v="0.13850000000000001"/>
    <n v="159984.6"/>
    <x v="2"/>
    <x v="66"/>
    <n v="188"/>
  </r>
  <r>
    <x v="69"/>
    <s v=" Supplier Omega Co. "/>
    <x v="1"/>
    <x v="3"/>
    <n v="2109739.4700000002"/>
    <n v="3.8100000000000002E-2"/>
    <n v="84516.84"/>
    <x v="1"/>
    <x v="67"/>
    <n v="77"/>
  </r>
  <r>
    <x v="70"/>
    <s v=" Supplier Omega Co. "/>
    <x v="3"/>
    <x v="2"/>
    <n v="268550.61"/>
    <n v="3.3099999999999997E-2"/>
    <n v="9057.65"/>
    <x v="3"/>
    <x v="68"/>
    <n v="-97"/>
  </r>
  <r>
    <x v="71"/>
    <s v=" Supplier Omega Co. "/>
    <x v="3"/>
    <x v="0"/>
    <n v="1361572.13"/>
    <n v="5.33E-2"/>
    <n v="69914.27"/>
    <x v="0"/>
    <x v="69"/>
    <n v="240"/>
  </r>
  <r>
    <x v="72"/>
    <s v=" Supplier Beta Co. "/>
    <x v="1"/>
    <x v="3"/>
    <n v="621380.21"/>
    <n v="0.1144"/>
    <n v="73945.87"/>
    <x v="3"/>
    <x v="70"/>
    <n v="169"/>
  </r>
  <r>
    <x v="73"/>
    <s v=" Supplier Delta Co. "/>
    <x v="1"/>
    <x v="1"/>
    <n v="890170.82"/>
    <n v="9.7100000000000006E-2"/>
    <n v="90490.94"/>
    <x v="0"/>
    <x v="71"/>
    <n v="-208"/>
  </r>
  <r>
    <x v="74"/>
    <s v=" Supplier Omega Co. "/>
    <x v="0"/>
    <x v="0"/>
    <n v="1211226.3600000001"/>
    <n v="3.3300000000000003E-2"/>
    <n v="39662.089999999997"/>
    <x v="3"/>
    <x v="2"/>
    <n v="-29"/>
  </r>
  <r>
    <x v="75"/>
    <s v=" Supplier Sigma Co. "/>
    <x v="2"/>
    <x v="4"/>
    <n v="920005.54"/>
    <n v="0.1394"/>
    <n v="132712.51"/>
    <x v="3"/>
    <x v="72"/>
    <n v="274"/>
  </r>
  <r>
    <x v="76"/>
    <s v=" Supplier Beta Co. "/>
    <x v="4"/>
    <x v="1"/>
    <n v="1639615.96"/>
    <n v="0.1227"/>
    <n v="196953.78"/>
    <x v="3"/>
    <x v="73"/>
    <n v="192"/>
  </r>
  <r>
    <x v="77"/>
    <s v=" Supplier Beta Co. "/>
    <x v="0"/>
    <x v="2"/>
    <n v="1224976.1499999999"/>
    <n v="2.3E-2"/>
    <n v="27387.15"/>
    <x v="1"/>
    <x v="74"/>
    <n v="241"/>
  </r>
  <r>
    <x v="78"/>
    <s v=" Supplier Delta Co. "/>
    <x v="2"/>
    <x v="2"/>
    <n v="1481288.74"/>
    <n v="0.1047"/>
    <n v="146940.06"/>
    <x v="1"/>
    <x v="75"/>
    <n v="-250"/>
  </r>
  <r>
    <x v="79"/>
    <s v=" Supplier Beta Co. "/>
    <x v="4"/>
    <x v="3"/>
    <n v="1855215.06"/>
    <n v="0.1203"/>
    <n v="223424.89"/>
    <x v="2"/>
    <x v="76"/>
    <n v="-9"/>
  </r>
  <r>
    <x v="80"/>
    <s v=" Supplier Beta Co. "/>
    <x v="2"/>
    <x v="1"/>
    <n v="1416468.55"/>
    <n v="6.8699999999999997E-2"/>
    <n v="74291.61"/>
    <x v="2"/>
    <x v="77"/>
    <n v="-281"/>
  </r>
  <r>
    <x v="81"/>
    <s v=" Supplier Omega Co. "/>
    <x v="0"/>
    <x v="0"/>
    <n v="1487011.81"/>
    <n v="2.9000000000000001E-2"/>
    <n v="45380.78"/>
    <x v="0"/>
    <x v="4"/>
    <n v="104"/>
  </r>
  <r>
    <x v="82"/>
    <s v=" Supplier Delta Co. "/>
    <x v="3"/>
    <x v="4"/>
    <n v="1432923.43"/>
    <n v="3.0099999999999998E-2"/>
    <n v="45233.09"/>
    <x v="1"/>
    <x v="78"/>
    <n v="-211"/>
  </r>
  <r>
    <x v="83"/>
    <s v=" Supplier Omega Co. "/>
    <x v="4"/>
    <x v="0"/>
    <n v="977992.93"/>
    <n v="3.3599999999999998E-2"/>
    <n v="23386.83"/>
    <x v="0"/>
    <x v="79"/>
    <n v="-47"/>
  </r>
  <r>
    <x v="84"/>
    <s v=" Supplier Omega Co. "/>
    <x v="0"/>
    <x v="0"/>
    <n v="876744.74"/>
    <n v="0.1293"/>
    <n v="116801.02"/>
    <x v="2"/>
    <x v="80"/>
    <n v="94"/>
  </r>
  <r>
    <x v="85"/>
    <s v=" Supplier Delta Co. "/>
    <x v="0"/>
    <x v="3"/>
    <n v="2254136.12"/>
    <n v="0.1384"/>
    <n v="234462.25"/>
    <x v="0"/>
    <x v="81"/>
    <n v="38"/>
  </r>
  <r>
    <x v="86"/>
    <s v=" Supplier Alpha Co. "/>
    <x v="2"/>
    <x v="1"/>
    <n v="1538510.29"/>
    <n v="3.5999999999999997E-2"/>
    <n v="46194.87"/>
    <x v="2"/>
    <x v="82"/>
    <n v="222"/>
  </r>
  <r>
    <x v="87"/>
    <s v=" Supplier Omega Co. "/>
    <x v="0"/>
    <x v="4"/>
    <n v="648665.23"/>
    <n v="5.0700000000000002E-2"/>
    <n v="32801.93"/>
    <x v="1"/>
    <x v="83"/>
    <n v="-160"/>
  </r>
  <r>
    <x v="88"/>
    <s v=" Supplier Sigma Co. "/>
    <x v="4"/>
    <x v="2"/>
    <n v="1270706.8600000001"/>
    <n v="4.1500000000000002E-2"/>
    <n v="40305.06"/>
    <x v="3"/>
    <x v="47"/>
    <n v="201"/>
  </r>
  <r>
    <x v="89"/>
    <s v=" Supplier Sigma Co. "/>
    <x v="5"/>
    <x v="0"/>
    <n v="859353.78"/>
    <n v="4.4200000000000003E-2"/>
    <n v="39016.089999999997"/>
    <x v="1"/>
    <x v="84"/>
    <n v="180"/>
  </r>
  <r>
    <x v="90"/>
    <s v=" Supplier Beta Co. "/>
    <x v="3"/>
    <x v="4"/>
    <n v="2337544.9700000002"/>
    <n v="0.12889999999999999"/>
    <n v="311208.67"/>
    <x v="0"/>
    <x v="85"/>
    <n v="297"/>
  </r>
  <r>
    <x v="91"/>
    <s v=" Supplier Sigma Co. "/>
    <x v="3"/>
    <x v="0"/>
    <n v="68459.19"/>
    <n v="6.3200000000000006E-2"/>
    <n v="3906.88"/>
    <x v="0"/>
    <x v="86"/>
    <n v="-74"/>
  </r>
  <r>
    <x v="92"/>
    <s v=" Supplier Beta Co. "/>
    <x v="3"/>
    <x v="3"/>
    <n v="602065.35"/>
    <n v="6.0499999999999998E-2"/>
    <n v="25590.51"/>
    <x v="1"/>
    <x v="87"/>
    <n v="75"/>
  </r>
  <r>
    <x v="93"/>
    <s v=" Supplier Alpha Co. "/>
    <x v="1"/>
    <x v="0"/>
    <n v="945124.21"/>
    <n v="4.9599999999999998E-2"/>
    <n v="38197.040000000001"/>
    <x v="1"/>
    <x v="88"/>
    <n v="105"/>
  </r>
  <r>
    <x v="94"/>
    <s v=" Supplier Delta Co. "/>
    <x v="5"/>
    <x v="0"/>
    <n v="1245134.01"/>
    <n v="9.9000000000000005E-2"/>
    <n v="116706.79"/>
    <x v="2"/>
    <x v="89"/>
    <n v="146"/>
  </r>
  <r>
    <x v="95"/>
    <s v=" Supplier Delta Co. "/>
    <x v="4"/>
    <x v="0"/>
    <n v="2134502.92"/>
    <n v="6.93E-2"/>
    <n v="161599.97"/>
    <x v="0"/>
    <x v="90"/>
    <n v="193"/>
  </r>
  <r>
    <x v="96"/>
    <s v=" Supplier Delta Co. "/>
    <x v="3"/>
    <x v="2"/>
    <n v="265324.68"/>
    <n v="0.1168"/>
    <n v="29524.89"/>
    <x v="0"/>
    <x v="91"/>
    <n v="-24"/>
  </r>
  <r>
    <x v="97"/>
    <s v=" Supplier Sigma Co. "/>
    <x v="0"/>
    <x v="0"/>
    <n v="2024368.97"/>
    <n v="4.6699999999999998E-2"/>
    <n v="76001.149999999994"/>
    <x v="1"/>
    <x v="92"/>
    <n v="229"/>
  </r>
  <r>
    <x v="98"/>
    <s v=" Supplier Alpha Co. "/>
    <x v="5"/>
    <x v="3"/>
    <n v="186351.05"/>
    <n v="0.12239999999999999"/>
    <n v="21751.07"/>
    <x v="3"/>
    <x v="93"/>
    <n v="-138"/>
  </r>
  <r>
    <x v="99"/>
    <s v=" Supplier Sigma Co. "/>
    <x v="4"/>
    <x v="0"/>
    <n v="2113669.39"/>
    <n v="9.8500000000000004E-2"/>
    <n v="190706.72"/>
    <x v="0"/>
    <x v="94"/>
    <n v="-145"/>
  </r>
  <r>
    <x v="100"/>
    <s v=" Supplier Sigma Co. "/>
    <x v="2"/>
    <x v="4"/>
    <n v="176506.92"/>
    <n v="3.49E-2"/>
    <n v="6233.63"/>
    <x v="3"/>
    <x v="95"/>
    <n v="-109"/>
  </r>
  <r>
    <x v="101"/>
    <s v=" Supplier Alpha Co. "/>
    <x v="4"/>
    <x v="1"/>
    <n v="94694.080000000002"/>
    <n v="7.3899999999999993E-2"/>
    <n v="5197.9799999999996"/>
    <x v="1"/>
    <x v="21"/>
    <n v="-199"/>
  </r>
  <r>
    <x v="102"/>
    <s v=" Supplier Alpha Co. "/>
    <x v="2"/>
    <x v="1"/>
    <n v="1757555.58"/>
    <n v="0.1323"/>
    <n v="233550.31"/>
    <x v="1"/>
    <x v="46"/>
    <n v="-166"/>
  </r>
  <r>
    <x v="103"/>
    <s v=" Supplier Alpha Co. "/>
    <x v="3"/>
    <x v="1"/>
    <n v="2493276.06"/>
    <n v="0.14000000000000001"/>
    <n v="319914.57"/>
    <x v="2"/>
    <x v="96"/>
    <n v="-126"/>
  </r>
  <r>
    <x v="104"/>
    <s v=" Supplier Alpha Co. "/>
    <x v="2"/>
    <x v="4"/>
    <n v="2246695.14"/>
    <n v="8.0500000000000002E-2"/>
    <n v="196267.56"/>
    <x v="0"/>
    <x v="97"/>
    <n v="-114"/>
  </r>
  <r>
    <x v="105"/>
    <s v=" Supplier Delta Co. "/>
    <x v="2"/>
    <x v="2"/>
    <n v="1461196.12"/>
    <n v="8.2500000000000004E-2"/>
    <n v="100868.97"/>
    <x v="3"/>
    <x v="98"/>
    <n v="67"/>
  </r>
  <r>
    <x v="106"/>
    <s v=" Supplier Gamma Co. "/>
    <x v="3"/>
    <x v="1"/>
    <n v="2297619.25"/>
    <n v="0.1394"/>
    <n v="305250.2"/>
    <x v="2"/>
    <x v="45"/>
    <n v="-258"/>
  </r>
  <r>
    <x v="107"/>
    <s v=" Supplier Gamma Co. "/>
    <x v="5"/>
    <x v="2"/>
    <n v="62985.02"/>
    <n v="9.6299999999999997E-2"/>
    <n v="6507.09"/>
    <x v="0"/>
    <x v="99"/>
    <n v="230"/>
  </r>
  <r>
    <x v="108"/>
    <s v=" Supplier Alpha Co. "/>
    <x v="0"/>
    <x v="3"/>
    <n v="2438914.5499999998"/>
    <n v="2.4299999999999999E-2"/>
    <n v="43916.06"/>
    <x v="2"/>
    <x v="59"/>
    <n v="200"/>
  </r>
  <r>
    <x v="109"/>
    <s v=" Supplier Gamma Co. "/>
    <x v="5"/>
    <x v="4"/>
    <n v="1252334.51"/>
    <n v="0.13869999999999999"/>
    <n v="186707.34"/>
    <x v="1"/>
    <x v="100"/>
    <n v="219"/>
  </r>
  <r>
    <x v="110"/>
    <s v=" Supplier Gamma Co. "/>
    <x v="2"/>
    <x v="3"/>
    <n v="1821095.44"/>
    <n v="5.2299999999999999E-2"/>
    <n v="92876.9"/>
    <x v="0"/>
    <x v="101"/>
    <n v="52"/>
  </r>
  <r>
    <x v="111"/>
    <s v=" Supplier Alpha Co. "/>
    <x v="3"/>
    <x v="3"/>
    <n v="2061110.61"/>
    <n v="9.5100000000000004E-2"/>
    <n v="142526.87"/>
    <x v="2"/>
    <x v="102"/>
    <n v="100"/>
  </r>
  <r>
    <x v="112"/>
    <s v=" Supplier Gamma Co. "/>
    <x v="0"/>
    <x v="1"/>
    <n v="1810220.31"/>
    <n v="4.1500000000000002E-2"/>
    <n v="61630.75"/>
    <x v="2"/>
    <x v="103"/>
    <n v="-136"/>
  </r>
  <r>
    <x v="113"/>
    <s v=" Supplier Sigma Co. "/>
    <x v="0"/>
    <x v="4"/>
    <n v="1360839.99"/>
    <n v="2.4400000000000002E-2"/>
    <n v="32648.95"/>
    <x v="3"/>
    <x v="77"/>
    <n v="-281"/>
  </r>
  <r>
    <x v="114"/>
    <s v=" Supplier Beta Co. "/>
    <x v="2"/>
    <x v="1"/>
    <n v="1217717.74"/>
    <n v="6.0499999999999998E-2"/>
    <n v="53555.09"/>
    <x v="2"/>
    <x v="104"/>
    <n v="196"/>
  </r>
  <r>
    <x v="115"/>
    <s v=" Supplier Beta Co. "/>
    <x v="2"/>
    <x v="1"/>
    <n v="2104527.27"/>
    <n v="0.1215"/>
    <n v="238534.45"/>
    <x v="0"/>
    <x v="105"/>
    <n v="129"/>
  </r>
  <r>
    <x v="116"/>
    <s v=" Supplier Alpha Co. "/>
    <x v="2"/>
    <x v="4"/>
    <n v="552440.02"/>
    <n v="5.6099999999999997E-2"/>
    <n v="25982.15"/>
    <x v="0"/>
    <x v="49"/>
    <n v="-189"/>
  </r>
  <r>
    <x v="117"/>
    <s v=" Supplier Delta Co. "/>
    <x v="1"/>
    <x v="1"/>
    <n v="2421585.46"/>
    <n v="4.8599999999999997E-2"/>
    <n v="111612.32"/>
    <x v="3"/>
    <x v="37"/>
    <n v="153"/>
  </r>
  <r>
    <x v="118"/>
    <s v=" Supplier Alpha Co. "/>
    <x v="2"/>
    <x v="4"/>
    <n v="1791833.57"/>
    <n v="4.7600000000000003E-2"/>
    <n v="61264.45"/>
    <x v="0"/>
    <x v="106"/>
    <n v="14"/>
  </r>
  <r>
    <x v="119"/>
    <s v=" Supplier Delta Co. "/>
    <x v="5"/>
    <x v="1"/>
    <n v="538791.97"/>
    <n v="8.6999999999999994E-2"/>
    <n v="49153.71"/>
    <x v="1"/>
    <x v="107"/>
    <n v="-127"/>
  </r>
  <r>
    <x v="120"/>
    <s v=" Supplier Beta Co. "/>
    <x v="3"/>
    <x v="3"/>
    <n v="1853805.6"/>
    <n v="0.14680000000000001"/>
    <n v="296466.65999999997"/>
    <x v="0"/>
    <x v="108"/>
    <n v="249"/>
  </r>
  <r>
    <x v="121"/>
    <s v=" Supplier Alpha Co. "/>
    <x v="1"/>
    <x v="1"/>
    <n v="1348108.06"/>
    <n v="7.9699999999999993E-2"/>
    <n v="116851.08"/>
    <x v="0"/>
    <x v="109"/>
    <n v="117"/>
  </r>
  <r>
    <x v="122"/>
    <s v=" Supplier Omega Co. "/>
    <x v="5"/>
    <x v="1"/>
    <n v="1782713.73"/>
    <n v="9.2399999999999996E-2"/>
    <n v="164699.81"/>
    <x v="2"/>
    <x v="110"/>
    <n v="-46"/>
  </r>
  <r>
    <x v="123"/>
    <s v=" Supplier Sigma Co. "/>
    <x v="0"/>
    <x v="1"/>
    <n v="1931059.78"/>
    <n v="0.13189999999999999"/>
    <n v="191548.29"/>
    <x v="2"/>
    <x v="111"/>
    <n v="-156"/>
  </r>
  <r>
    <x v="124"/>
    <s v=" Supplier Gamma Co. "/>
    <x v="4"/>
    <x v="1"/>
    <n v="263860.94"/>
    <n v="8.9599999999999999E-2"/>
    <n v="23720.080000000002"/>
    <x v="0"/>
    <x v="112"/>
    <n v="-23"/>
  </r>
  <r>
    <x v="125"/>
    <s v=" Supplier Delta Co. "/>
    <x v="4"/>
    <x v="2"/>
    <n v="1289954.69"/>
    <n v="4.3999999999999997E-2"/>
    <n v="40288.81"/>
    <x v="3"/>
    <x v="113"/>
    <n v="119"/>
  </r>
  <r>
    <x v="126"/>
    <s v=" Supplier Omega Co. "/>
    <x v="4"/>
    <x v="1"/>
    <n v="2333435.14"/>
    <n v="5.8900000000000001E-2"/>
    <n v="97423.79"/>
    <x v="2"/>
    <x v="45"/>
    <n v="-258"/>
  </r>
  <r>
    <x v="127"/>
    <s v=" Supplier Gamma Co. "/>
    <x v="3"/>
    <x v="2"/>
    <n v="835573.37"/>
    <n v="6.0299999999999999E-2"/>
    <n v="41791.599999999999"/>
    <x v="3"/>
    <x v="12"/>
    <n v="-268"/>
  </r>
  <r>
    <x v="128"/>
    <s v=" Supplier Gamma Co. "/>
    <x v="4"/>
    <x v="1"/>
    <n v="1505013.59"/>
    <n v="7.17E-2"/>
    <n v="96628.32"/>
    <x v="0"/>
    <x v="84"/>
    <n v="180"/>
  </r>
  <r>
    <x v="129"/>
    <s v=" Supplier Alpha Co. "/>
    <x v="0"/>
    <x v="2"/>
    <n v="954614.68"/>
    <n v="7.5499999999999998E-2"/>
    <n v="72661.740000000005"/>
    <x v="0"/>
    <x v="61"/>
    <n v="21"/>
  </r>
  <r>
    <x v="130"/>
    <s v=" Supplier Gamma Co. "/>
    <x v="0"/>
    <x v="0"/>
    <n v="1162956.53"/>
    <n v="0.124"/>
    <n v="140358.91"/>
    <x v="1"/>
    <x v="114"/>
    <n v="-52"/>
  </r>
  <r>
    <x v="131"/>
    <s v=" Supplier Sigma Co. "/>
    <x v="0"/>
    <x v="0"/>
    <n v="1394077.64"/>
    <n v="6.54E-2"/>
    <n v="80082.53"/>
    <x v="2"/>
    <x v="115"/>
    <n v="-25"/>
  </r>
  <r>
    <x v="132"/>
    <s v=" Supplier Omega Co. "/>
    <x v="1"/>
    <x v="4"/>
    <n v="1394858.85"/>
    <n v="8.09E-2"/>
    <n v="91341.72"/>
    <x v="0"/>
    <x v="116"/>
    <n v="143"/>
  </r>
  <r>
    <x v="133"/>
    <s v=" Supplier Gamma Co. "/>
    <x v="1"/>
    <x v="2"/>
    <n v="544239.63"/>
    <n v="0.1012"/>
    <n v="60521.41"/>
    <x v="1"/>
    <x v="117"/>
    <n v="-58"/>
  </r>
  <r>
    <x v="134"/>
    <s v=" Supplier Alpha Co. "/>
    <x v="4"/>
    <x v="4"/>
    <n v="1727200.29"/>
    <n v="6.9099999999999995E-2"/>
    <n v="103890.49"/>
    <x v="2"/>
    <x v="118"/>
    <n v="80"/>
  </r>
  <r>
    <x v="135"/>
    <s v=" Supplier Sigma Co. "/>
    <x v="2"/>
    <x v="0"/>
    <n v="265276.87"/>
    <n v="0.1288"/>
    <n v="30086.5"/>
    <x v="0"/>
    <x v="119"/>
    <n v="-31"/>
  </r>
  <r>
    <x v="136"/>
    <s v=" Supplier Beta Co. "/>
    <x v="4"/>
    <x v="0"/>
    <n v="390120.69"/>
    <n v="9.64E-2"/>
    <n v="28786.75"/>
    <x v="0"/>
    <x v="120"/>
    <n v="62"/>
  </r>
  <r>
    <x v="137"/>
    <s v=" Supplier Omega Co. "/>
    <x v="3"/>
    <x v="2"/>
    <n v="56641.7"/>
    <n v="5.8200000000000002E-2"/>
    <n v="3355.63"/>
    <x v="2"/>
    <x v="121"/>
    <n v="43"/>
  </r>
  <r>
    <x v="138"/>
    <s v=" Supplier Gamma Co. "/>
    <x v="2"/>
    <x v="1"/>
    <n v="335905.36"/>
    <n v="0.1128"/>
    <n v="37036.57"/>
    <x v="2"/>
    <x v="122"/>
    <n v="92"/>
  </r>
  <r>
    <x v="139"/>
    <s v=" Supplier Alpha Co. "/>
    <x v="5"/>
    <x v="4"/>
    <n v="1209257.19"/>
    <n v="8.8599999999999998E-2"/>
    <n v="84459.45"/>
    <x v="2"/>
    <x v="123"/>
    <n v="280"/>
  </r>
  <r>
    <x v="140"/>
    <s v=" Supplier Beta Co. "/>
    <x v="2"/>
    <x v="1"/>
    <n v="1534949.61"/>
    <n v="8.9499999999999996E-2"/>
    <n v="100691.53"/>
    <x v="0"/>
    <x v="124"/>
    <n v="-294"/>
  </r>
  <r>
    <x v="141"/>
    <s v=" Supplier Beta Co. "/>
    <x v="3"/>
    <x v="2"/>
    <n v="1996009.15"/>
    <n v="8.2500000000000004E-2"/>
    <n v="160092.85999999999"/>
    <x v="0"/>
    <x v="125"/>
    <n v="132"/>
  </r>
  <r>
    <x v="142"/>
    <s v=" Supplier Delta Co. "/>
    <x v="5"/>
    <x v="4"/>
    <n v="311413.15999999997"/>
    <n v="8.4599999999999995E-2"/>
    <n v="25339.27"/>
    <x v="1"/>
    <x v="126"/>
    <n v="-155"/>
  </r>
  <r>
    <x v="143"/>
    <s v=" Supplier Sigma Co. "/>
    <x v="0"/>
    <x v="0"/>
    <n v="2134282.2799999998"/>
    <n v="0.1195"/>
    <n v="206410.29"/>
    <x v="3"/>
    <x v="127"/>
    <n v="79"/>
  </r>
  <r>
    <x v="144"/>
    <s v=" Supplier Gamma Co. "/>
    <x v="2"/>
    <x v="2"/>
    <n v="1877637.59"/>
    <n v="3.3399999999999999E-2"/>
    <n v="67751.81"/>
    <x v="2"/>
    <x v="128"/>
    <n v="27"/>
  </r>
  <r>
    <x v="145"/>
    <s v=" Supplier Alpha Co. "/>
    <x v="5"/>
    <x v="2"/>
    <n v="1050869.82"/>
    <n v="6.3500000000000001E-2"/>
    <n v="50743.21"/>
    <x v="0"/>
    <x v="129"/>
    <n v="-151"/>
  </r>
  <r>
    <x v="146"/>
    <s v=" Supplier Delta Co. "/>
    <x v="4"/>
    <x v="4"/>
    <n v="2335698.2599999998"/>
    <n v="2.98E-2"/>
    <n v="60759.53"/>
    <x v="0"/>
    <x v="130"/>
    <n v="-4"/>
  </r>
  <r>
    <x v="147"/>
    <s v=" Supplier Sigma Co. "/>
    <x v="0"/>
    <x v="0"/>
    <n v="2477777.2200000002"/>
    <n v="0.1179"/>
    <n v="314754.34000000003"/>
    <x v="2"/>
    <x v="131"/>
    <n v="135"/>
  </r>
  <r>
    <x v="148"/>
    <s v=" Supplier Delta Co. "/>
    <x v="5"/>
    <x v="1"/>
    <n v="552254.43000000005"/>
    <n v="5.5399999999999998E-2"/>
    <n v="26553.03"/>
    <x v="3"/>
    <x v="132"/>
    <n v="288"/>
  </r>
  <r>
    <x v="149"/>
    <s v=" Supplier Omega Co. "/>
    <x v="1"/>
    <x v="0"/>
    <n v="979110.03"/>
    <n v="0.13669999999999999"/>
    <n v="127876.27"/>
    <x v="2"/>
    <x v="133"/>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350F6B-A303-4535-BF17-65ED20414660}" name="Renewal_Risk_Pipelin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7" firstHeaderRow="1" firstDataRow="1" firstDataCol="1" rowPageCount="1" colPageCount="1"/>
  <pivotFields count="15">
    <pivotField dataField="1" showAll="0" countASubtotal="1">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countA"/>
      </items>
    </pivotField>
    <pivotField showAll="0"/>
    <pivotField showAll="0" sortType="descending"/>
    <pivotField showAll="0">
      <items count="6">
        <item x="4"/>
        <item x="2"/>
        <item x="0"/>
        <item x="1"/>
        <item x="3"/>
        <item t="default"/>
      </items>
    </pivotField>
    <pivotField numFmtId="165" showAll="0"/>
    <pivotField numFmtId="10" showAll="0"/>
    <pivotField numFmtId="165" showAll="0"/>
    <pivotField axis="axisPage" multipleItemSelectionAllowed="1" showAll="0">
      <items count="5">
        <item h="1" x="2"/>
        <item h="1" x="3"/>
        <item h="1" x="1"/>
        <item x="0"/>
        <item t="default"/>
      </items>
    </pivotField>
    <pivotField axis="axisRow" numFmtId="14" showAll="0">
      <items count="135">
        <item x="124"/>
        <item x="15"/>
        <item x="60"/>
        <item x="77"/>
        <item x="40"/>
        <item x="44"/>
        <item x="12"/>
        <item x="45"/>
        <item x="43"/>
        <item x="56"/>
        <item x="75"/>
        <item x="22"/>
        <item x="42"/>
        <item x="24"/>
        <item x="39"/>
        <item x="65"/>
        <item x="78"/>
        <item x="71"/>
        <item x="21"/>
        <item x="53"/>
        <item x="49"/>
        <item x="17"/>
        <item x="8"/>
        <item x="46"/>
        <item x="83"/>
        <item x="111"/>
        <item x="126"/>
        <item x="129"/>
        <item x="28"/>
        <item x="13"/>
        <item x="94"/>
        <item x="36"/>
        <item x="93"/>
        <item x="103"/>
        <item x="1"/>
        <item x="107"/>
        <item x="96"/>
        <item x="50"/>
        <item x="97"/>
        <item x="18"/>
        <item x="95"/>
        <item x="68"/>
        <item x="35"/>
        <item x="63"/>
        <item x="41"/>
        <item x="86"/>
        <item x="19"/>
        <item x="48"/>
        <item x="117"/>
        <item x="30"/>
        <item x="114"/>
        <item x="79"/>
        <item x="110"/>
        <item x="119"/>
        <item x="2"/>
        <item x="115"/>
        <item x="91"/>
        <item x="112"/>
        <item x="55"/>
        <item x="0"/>
        <item x="76"/>
        <item x="26"/>
        <item x="10"/>
        <item x="130"/>
        <item x="14"/>
        <item x="20"/>
        <item x="106"/>
        <item x="25"/>
        <item x="61"/>
        <item x="128"/>
        <item x="57"/>
        <item x="81"/>
        <item x="64"/>
        <item x="121"/>
        <item x="101"/>
        <item x="120"/>
        <item x="9"/>
        <item x="98"/>
        <item x="33"/>
        <item x="11"/>
        <item x="87"/>
        <item x="67"/>
        <item x="127"/>
        <item x="118"/>
        <item x="122"/>
        <item x="80"/>
        <item x="102"/>
        <item x="133"/>
        <item x="4"/>
        <item x="88"/>
        <item x="23"/>
        <item x="109"/>
        <item x="113"/>
        <item x="105"/>
        <item x="125"/>
        <item x="131"/>
        <item x="51"/>
        <item x="116"/>
        <item x="89"/>
        <item x="37"/>
        <item x="3"/>
        <item x="70"/>
        <item x="29"/>
        <item x="5"/>
        <item x="84"/>
        <item x="52"/>
        <item x="34"/>
        <item x="66"/>
        <item x="73"/>
        <item x="90"/>
        <item x="31"/>
        <item x="104"/>
        <item x="59"/>
        <item x="47"/>
        <item x="38"/>
        <item x="32"/>
        <item x="16"/>
        <item x="100"/>
        <item x="82"/>
        <item x="54"/>
        <item x="92"/>
        <item x="99"/>
        <item x="69"/>
        <item x="74"/>
        <item x="108"/>
        <item x="27"/>
        <item x="6"/>
        <item x="58"/>
        <item x="72"/>
        <item x="7"/>
        <item x="123"/>
        <item x="132"/>
        <item x="62"/>
        <item x="85"/>
        <item t="default"/>
      </items>
    </pivotField>
    <pivotField showAl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x="7"/>
        <item sd="0" x="8"/>
        <item sd="0" x="9"/>
        <item x="10"/>
        <item sd="0" x="11"/>
        <item sd="0" x="12"/>
        <item sd="0" x="13"/>
        <item t="default"/>
      </items>
    </pivotField>
    <pivotField axis="axisRow" showAll="0">
      <items count="7">
        <item sd="0" x="0"/>
        <item sd="0" x="1"/>
        <item sd="0" x="2"/>
        <item x="3"/>
        <item x="4"/>
        <item sd="0" x="5"/>
        <item t="default"/>
      </items>
    </pivotField>
    <pivotField name="Renewal Year" axis="axisRow" showAll="0">
      <items count="6">
        <item sd="0" x="0"/>
        <item sd="0" x="1"/>
        <item sd="0" x="2"/>
        <item sd="0" x="3"/>
        <item sd="0" x="4"/>
        <item t="default"/>
      </items>
    </pivotField>
  </pivotFields>
  <rowFields count="4">
    <field x="14"/>
    <field x="13"/>
    <field x="12"/>
    <field x="8"/>
  </rowFields>
  <rowItems count="4">
    <i>
      <x v="1"/>
    </i>
    <i>
      <x v="2"/>
    </i>
    <i>
      <x v="3"/>
    </i>
    <i t="grand">
      <x/>
    </i>
  </rowItems>
  <colItems count="1">
    <i/>
  </colItems>
  <pageFields count="1">
    <pageField fld="7" hier="-1"/>
  </pageFields>
  <dataFields count="1">
    <dataField name="Open Contracts" fld="0" subtotal="count" baseField="0" baseItem="0" numFmtId="2"/>
  </dataFields>
  <formats count="15">
    <format dxfId="18">
      <pivotArea field="7" type="button" dataOnly="0" labelOnly="1" outline="0" axis="axisPage" fieldPosition="0"/>
    </format>
    <format dxfId="17">
      <pivotArea dataOnly="0" labelOnly="1" outline="0" fieldPosition="0">
        <references count="1">
          <reference field="14" count="1">
            <x v="1"/>
          </reference>
        </references>
      </pivotArea>
    </format>
    <format dxfId="16">
      <pivotArea dataOnly="0" labelOnly="1" outline="0" fieldPosition="0">
        <references count="1">
          <reference field="14" count="1">
            <x v="2"/>
          </reference>
        </references>
      </pivotArea>
    </format>
    <format dxfId="15">
      <pivotArea dataOnly="0" labelOnly="1" outline="0" fieldPosition="0">
        <references count="1">
          <reference field="14" count="1">
            <x v="3"/>
          </reference>
        </references>
      </pivotArea>
    </format>
    <format dxfId="14">
      <pivotArea field="14" type="button" dataOnly="0" labelOnly="1" outline="0" axis="axisRow" fieldPosition="0"/>
    </format>
    <format dxfId="13">
      <pivotArea dataOnly="0" labelOnly="1" outline="0" axis="axisValues" fieldPosition="0"/>
    </format>
    <format dxfId="12">
      <pivotArea field="13" type="button" dataOnly="0" labelOnly="1" outline="0" axis="axisRow" fieldPosition="1"/>
    </format>
    <format dxfId="11">
      <pivotArea field="12" type="button" dataOnly="0" labelOnly="1" outline="0" axis="axisRow" fieldPosition="2"/>
    </format>
    <format dxfId="10">
      <pivotArea field="8" type="button" dataOnly="0" labelOnly="1" outline="0" axis="axisRow" fieldPosition="3"/>
    </format>
    <format dxfId="9">
      <pivotArea outline="0" collapsedLevelsAreSubtotals="1" fieldPosition="0"/>
    </format>
    <format dxfId="8">
      <pivotArea dataOnly="0" labelOnly="1" outline="0" axis="axisValues" fieldPosition="0"/>
    </format>
    <format dxfId="7">
      <pivotArea collapsedLevelsAreSubtotals="1" fieldPosition="0">
        <references count="1">
          <reference field="14" count="1">
            <x v="1"/>
          </reference>
        </references>
      </pivotArea>
    </format>
    <format dxfId="6">
      <pivotArea collapsedLevelsAreSubtotals="1" fieldPosition="0">
        <references count="1">
          <reference field="14" count="1">
            <x v="2"/>
          </reference>
        </references>
      </pivotArea>
    </format>
    <format dxfId="5">
      <pivotArea collapsedLevelsAreSubtotals="1" fieldPosition="0">
        <references count="1">
          <reference field="14" count="1">
            <x v="3"/>
          </reference>
        </references>
      </pivotArea>
    </format>
    <format dxfId="4">
      <pivotArea grandRow="1" outline="0" collapsedLevelsAreSubtotals="1" fieldPosition="0"/>
    </format>
  </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89F65F-1D17-4999-8B46-825F4D8F23D8}" name="Savings_Slippage_Variance" cacheId="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2:C19" firstHeaderRow="0" firstDataRow="1" firstDataCol="1"/>
  <pivotFields count="15">
    <pivotField compact="0" outline="0" showAll="0"/>
    <pivotField compact="0" outline="0" showAll="0"/>
    <pivotField axis="axisRow" compact="0" outline="0" showAll="0" sortType="descending">
      <items count="7">
        <item x="2"/>
        <item x="1"/>
        <item x="5"/>
        <item x="0"/>
        <item x="4"/>
        <item x="3"/>
        <item t="default"/>
      </items>
      <autoSortScope>
        <pivotArea dataOnly="0" outline="0" fieldPosition="0">
          <references count="1">
            <reference field="4294967294" count="1" selected="0">
              <x v="1"/>
            </reference>
          </references>
        </pivotArea>
      </autoSortScope>
    </pivotField>
    <pivotField compact="0" outline="0" showAll="0">
      <items count="6">
        <item x="4"/>
        <item x="2"/>
        <item x="0"/>
        <item x="1"/>
        <item x="3"/>
        <item t="default"/>
      </items>
    </pivotField>
    <pivotField compact="0" numFmtId="165" outline="0" showAll="0"/>
    <pivotField compact="0" numFmtId="10" outline="0" showAll="0"/>
    <pivotField compact="0" numFmtId="165" outline="0" showAll="0"/>
    <pivotField compact="0" outline="0" showAll="0">
      <items count="5">
        <item h="1" x="2"/>
        <item h="1" x="3"/>
        <item h="1" x="1"/>
        <item x="0"/>
        <item t="default"/>
      </items>
    </pivotField>
    <pivotField compact="0" numFmtId="14" outline="0" showAll="0">
      <items count="135">
        <item x="124"/>
        <item x="15"/>
        <item x="60"/>
        <item x="77"/>
        <item x="40"/>
        <item x="44"/>
        <item x="12"/>
        <item x="45"/>
        <item x="43"/>
        <item x="56"/>
        <item x="75"/>
        <item x="22"/>
        <item x="42"/>
        <item x="24"/>
        <item x="39"/>
        <item x="65"/>
        <item x="78"/>
        <item x="71"/>
        <item x="21"/>
        <item x="53"/>
        <item x="49"/>
        <item x="17"/>
        <item x="8"/>
        <item x="46"/>
        <item x="83"/>
        <item x="111"/>
        <item x="126"/>
        <item x="129"/>
        <item x="28"/>
        <item x="13"/>
        <item x="94"/>
        <item x="36"/>
        <item x="93"/>
        <item x="103"/>
        <item x="1"/>
        <item x="107"/>
        <item x="96"/>
        <item x="50"/>
        <item x="97"/>
        <item x="18"/>
        <item x="95"/>
        <item x="68"/>
        <item x="35"/>
        <item x="63"/>
        <item x="41"/>
        <item x="86"/>
        <item x="19"/>
        <item x="48"/>
        <item x="117"/>
        <item x="30"/>
        <item x="114"/>
        <item x="79"/>
        <item x="110"/>
        <item x="119"/>
        <item x="2"/>
        <item x="115"/>
        <item x="91"/>
        <item x="112"/>
        <item x="55"/>
        <item x="0"/>
        <item x="76"/>
        <item x="26"/>
        <item x="10"/>
        <item x="130"/>
        <item x="14"/>
        <item x="20"/>
        <item x="106"/>
        <item x="25"/>
        <item x="61"/>
        <item x="128"/>
        <item x="57"/>
        <item x="81"/>
        <item x="64"/>
        <item x="121"/>
        <item x="101"/>
        <item x="120"/>
        <item x="9"/>
        <item x="98"/>
        <item x="33"/>
        <item x="11"/>
        <item x="87"/>
        <item x="67"/>
        <item x="127"/>
        <item x="118"/>
        <item x="122"/>
        <item x="80"/>
        <item x="102"/>
        <item x="133"/>
        <item x="4"/>
        <item x="88"/>
        <item x="23"/>
        <item x="109"/>
        <item x="113"/>
        <item x="105"/>
        <item x="125"/>
        <item x="131"/>
        <item x="51"/>
        <item x="116"/>
        <item x="89"/>
        <item x="37"/>
        <item x="3"/>
        <item x="70"/>
        <item x="29"/>
        <item x="5"/>
        <item x="84"/>
        <item x="52"/>
        <item x="34"/>
        <item x="66"/>
        <item x="73"/>
        <item x="90"/>
        <item x="31"/>
        <item x="104"/>
        <item x="59"/>
        <item x="47"/>
        <item x="38"/>
        <item x="32"/>
        <item x="16"/>
        <item x="100"/>
        <item x="82"/>
        <item x="54"/>
        <item x="92"/>
        <item x="99"/>
        <item x="69"/>
        <item x="74"/>
        <item x="108"/>
        <item x="27"/>
        <item x="6"/>
        <item x="58"/>
        <item x="72"/>
        <item x="7"/>
        <item x="123"/>
        <item x="132"/>
        <item x="62"/>
        <item x="85"/>
        <item t="default"/>
      </items>
    </pivotField>
    <pivotField compact="0" outline="0" showAll="0"/>
    <pivotField dataField="1" compact="0" outline="0" dragToRow="0" dragToCol="0" dragToPage="0" showAll="0" defaultSubtotal="0"/>
    <pivotField dataField="1"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2"/>
  </rowFields>
  <rowItems count="7">
    <i>
      <x/>
    </i>
    <i>
      <x v="5"/>
    </i>
    <i>
      <x v="4"/>
    </i>
    <i>
      <x v="3"/>
    </i>
    <i>
      <x v="1"/>
    </i>
    <i>
      <x v="2"/>
    </i>
    <i t="grand">
      <x/>
    </i>
  </rowItems>
  <colFields count="1">
    <field x="-2"/>
  </colFields>
  <colItems count="2">
    <i>
      <x/>
    </i>
    <i i="1">
      <x v="1"/>
    </i>
  </colItems>
  <dataFields count="2">
    <dataField name="Target Savings" fld="10" baseField="0" baseItem="0" numFmtId="166"/>
    <dataField name="Savings Spillage" fld="11" baseField="0" baseItem="0" numFmtId="166"/>
  </dataFields>
  <formats count="12">
    <format dxfId="30">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1"/>
          </reference>
        </references>
      </pivotArea>
    </format>
    <format dxfId="28">
      <pivotArea type="all" dataOnly="0" outline="0" fieldPosition="0"/>
    </format>
    <format dxfId="27">
      <pivotArea outline="0" collapsedLevelsAreSubtotals="1" fieldPosition="0"/>
    </format>
    <format dxfId="26">
      <pivotArea dataOnly="0" labelOnly="1" outline="0" fieldPosition="0">
        <references count="1">
          <reference field="2" count="0"/>
        </references>
      </pivotArea>
    </format>
    <format dxfId="25">
      <pivotArea dataOnly="0" labelOnly="1" grandRow="1" outline="0" fieldPosition="0"/>
    </format>
    <format dxfId="24">
      <pivotArea field="2" type="button" dataOnly="0" labelOnly="1" outline="0" axis="axisRow" fieldPosition="0"/>
    </format>
    <format dxfId="23">
      <pivotArea outline="0" fieldPosition="0">
        <references count="1">
          <reference field="4294967294" count="1" selected="0">
            <x v="1"/>
          </reference>
        </references>
      </pivotArea>
    </format>
    <format dxfId="22">
      <pivotArea outline="0" fieldPosition="0">
        <references count="1">
          <reference field="4294967294" count="1" selected="0">
            <x v="0"/>
          </reference>
        </references>
      </pivotArea>
    </format>
    <format dxfId="21">
      <pivotArea dataOnly="0" labelOnly="1" outline="0" fieldPosition="0">
        <references count="1">
          <reference field="4294967294" count="2">
            <x v="0"/>
            <x v="1"/>
          </reference>
        </references>
      </pivotArea>
    </format>
    <format dxfId="20">
      <pivotArea field="2" type="button" dataOnly="0" labelOnly="1" outline="0" axis="axisRow" fieldPosition="0"/>
    </format>
    <format dxfId="19">
      <pivotArea dataOnly="0" labelOnly="1" outline="0" fieldPosition="0">
        <references count="1">
          <reference field="2"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45D775-E2D5-42AA-AA75-949484DB6483}" name="Supplier_Consolidation_Index" cacheId="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C10" firstHeaderRow="0" firstDataRow="1" firstDataCol="1"/>
  <pivotFields count="15">
    <pivotField compact="0" outline="0" showAll="0"/>
    <pivotField dataField="1" compact="0" outline="0" showAll="0"/>
    <pivotField axis="axisRow" compact="0" outline="0" showAll="0">
      <items count="7">
        <item x="3"/>
        <item x="4"/>
        <item x="0"/>
        <item x="5"/>
        <item x="1"/>
        <item x="2"/>
        <item t="default"/>
      </items>
    </pivotField>
    <pivotField compact="0" outline="0" showAll="0">
      <items count="6">
        <item x="4"/>
        <item x="2"/>
        <item x="0"/>
        <item x="1"/>
        <item x="3"/>
        <item t="default"/>
      </items>
    </pivotField>
    <pivotField dataField="1" compact="0" numFmtId="165" outline="0" showAll="0"/>
    <pivotField compact="0" numFmtId="10" outline="0" showAll="0"/>
    <pivotField compact="0" numFmtId="165" outline="0" showAll="0"/>
    <pivotField compact="0" outline="0" showAll="0">
      <items count="5">
        <item h="1" x="2"/>
        <item h="1" x="3"/>
        <item h="1" x="1"/>
        <item x="0"/>
        <item t="default"/>
      </items>
    </pivotField>
    <pivotField compact="0" numFmtId="14" outline="0" showAll="0">
      <items count="135">
        <item x="124"/>
        <item x="15"/>
        <item x="60"/>
        <item x="77"/>
        <item x="40"/>
        <item x="44"/>
        <item x="12"/>
        <item x="45"/>
        <item x="43"/>
        <item x="56"/>
        <item x="75"/>
        <item x="22"/>
        <item x="42"/>
        <item x="24"/>
        <item x="39"/>
        <item x="65"/>
        <item x="78"/>
        <item x="71"/>
        <item x="21"/>
        <item x="53"/>
        <item x="49"/>
        <item x="17"/>
        <item x="8"/>
        <item x="46"/>
        <item x="83"/>
        <item x="111"/>
        <item x="126"/>
        <item x="129"/>
        <item x="28"/>
        <item x="13"/>
        <item x="94"/>
        <item x="36"/>
        <item x="93"/>
        <item x="103"/>
        <item x="1"/>
        <item x="107"/>
        <item x="96"/>
        <item x="50"/>
        <item x="97"/>
        <item x="18"/>
        <item x="95"/>
        <item x="68"/>
        <item x="35"/>
        <item x="63"/>
        <item x="41"/>
        <item x="86"/>
        <item x="19"/>
        <item x="48"/>
        <item x="117"/>
        <item x="30"/>
        <item x="114"/>
        <item x="79"/>
        <item x="110"/>
        <item x="119"/>
        <item x="2"/>
        <item x="115"/>
        <item x="91"/>
        <item x="112"/>
        <item x="55"/>
        <item x="0"/>
        <item x="76"/>
        <item x="26"/>
        <item x="10"/>
        <item x="130"/>
        <item x="14"/>
        <item x="20"/>
        <item x="106"/>
        <item x="25"/>
        <item x="61"/>
        <item x="128"/>
        <item x="57"/>
        <item x="81"/>
        <item x="64"/>
        <item x="121"/>
        <item x="101"/>
        <item x="120"/>
        <item x="9"/>
        <item x="98"/>
        <item x="33"/>
        <item x="11"/>
        <item x="87"/>
        <item x="67"/>
        <item x="127"/>
        <item x="118"/>
        <item x="122"/>
        <item x="80"/>
        <item x="102"/>
        <item x="133"/>
        <item x="4"/>
        <item x="88"/>
        <item x="23"/>
        <item x="109"/>
        <item x="113"/>
        <item x="105"/>
        <item x="125"/>
        <item x="131"/>
        <item x="51"/>
        <item x="116"/>
        <item x="89"/>
        <item x="37"/>
        <item x="3"/>
        <item x="70"/>
        <item x="29"/>
        <item x="5"/>
        <item x="84"/>
        <item x="52"/>
        <item x="34"/>
        <item x="66"/>
        <item x="73"/>
        <item x="90"/>
        <item x="31"/>
        <item x="104"/>
        <item x="59"/>
        <item x="47"/>
        <item x="38"/>
        <item x="32"/>
        <item x="16"/>
        <item x="100"/>
        <item x="82"/>
        <item x="54"/>
        <item x="92"/>
        <item x="99"/>
        <item x="69"/>
        <item x="74"/>
        <item x="108"/>
        <item x="27"/>
        <item x="6"/>
        <item x="58"/>
        <item x="72"/>
        <item x="7"/>
        <item x="123"/>
        <item x="132"/>
        <item x="62"/>
        <item x="85"/>
        <item t="default"/>
      </items>
    </pivotField>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Total Suppliers" fld="1" subtotal="count" baseField="0" baseItem="0"/>
    <dataField name="Annual Spend" fld="4" baseField="0" baseItem="0" numFmtId="165"/>
  </dataFields>
  <formats count="19">
    <format dxfId="49">
      <pivotArea collapsedLevelsAreSubtotals="1" fieldPosition="0">
        <references count="2">
          <reference field="4294967294" count="1" selected="0">
            <x v="1"/>
          </reference>
          <reference field="2" count="1">
            <x v="0"/>
          </reference>
        </references>
      </pivotArea>
    </format>
    <format dxfId="48">
      <pivotArea collapsedLevelsAreSubtotals="1" fieldPosition="0">
        <references count="2">
          <reference field="4294967294" count="1" selected="0">
            <x v="1"/>
          </reference>
          <reference field="2" count="1">
            <x v="1"/>
          </reference>
        </references>
      </pivotArea>
    </format>
    <format dxfId="47">
      <pivotArea collapsedLevelsAreSubtotals="1" fieldPosition="0">
        <references count="2">
          <reference field="4294967294" count="1" selected="0">
            <x v="1"/>
          </reference>
          <reference field="2" count="1">
            <x v="2"/>
          </reference>
        </references>
      </pivotArea>
    </format>
    <format dxfId="46">
      <pivotArea collapsedLevelsAreSubtotals="1" fieldPosition="0">
        <references count="2">
          <reference field="4294967294" count="1" selected="0">
            <x v="1"/>
          </reference>
          <reference field="2" count="1">
            <x v="3"/>
          </reference>
        </references>
      </pivotArea>
    </format>
    <format dxfId="45">
      <pivotArea collapsedLevelsAreSubtotals="1" fieldPosition="0">
        <references count="2">
          <reference field="4294967294" count="1" selected="0">
            <x v="1"/>
          </reference>
          <reference field="2" count="1">
            <x v="4"/>
          </reference>
        </references>
      </pivotArea>
    </format>
    <format dxfId="44">
      <pivotArea collapsedLevelsAreSubtotals="1" fieldPosition="0">
        <references count="2">
          <reference field="4294967294" count="1" selected="0">
            <x v="1"/>
          </reference>
          <reference field="2" count="1">
            <x v="5"/>
          </reference>
        </references>
      </pivotArea>
    </format>
    <format dxfId="43">
      <pivotArea field="2" grandRow="1" outline="0" collapsedLevelsAreSubtotals="1" axis="axisRow" fieldPosition="0">
        <references count="1">
          <reference field="4294967294" count="1" selected="0">
            <x v="1"/>
          </reference>
        </references>
      </pivotArea>
    </format>
    <format dxfId="42">
      <pivotArea outline="0" fieldPosition="0">
        <references count="2">
          <reference field="4294967294" count="1" selected="0">
            <x v="1"/>
          </reference>
          <reference field="2" count="1" selected="0">
            <x v="0"/>
          </reference>
        </references>
      </pivotArea>
    </format>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outline="0" fieldPosition="0">
        <references count="1">
          <reference field="2" count="0"/>
        </references>
      </pivotArea>
    </format>
    <format dxfId="37">
      <pivotArea dataOnly="0" labelOnly="1" grandRow="1" outline="0" fieldPosition="0"/>
    </format>
    <format dxfId="36">
      <pivotArea outline="0" fieldPosition="0">
        <references count="2">
          <reference field="4294967294" count="1" selected="0">
            <x v="1"/>
          </reference>
          <reference field="2" count="0" selected="0"/>
        </references>
      </pivotArea>
    </format>
    <format dxfId="35">
      <pivotArea outline="0" fieldPosition="0">
        <references count="2">
          <reference field="4294967294" count="1" selected="0">
            <x v="0"/>
          </reference>
          <reference field="2" count="0" selected="0"/>
        </references>
      </pivotArea>
    </format>
    <format dxfId="34">
      <pivotArea grandRow="1" outline="0" collapsedLevelsAreSubtotals="1" fieldPosition="0"/>
    </format>
    <format dxfId="33">
      <pivotArea dataOnly="0" labelOnly="1" outline="0" fieldPosition="0">
        <references count="1">
          <reference field="4294967294" count="2">
            <x v="0"/>
            <x v="1"/>
          </reference>
        </references>
      </pivotArea>
    </format>
    <format dxfId="32">
      <pivotArea field="2" type="button" dataOnly="0" labelOnly="1" outline="0" axis="axisRow" fieldPosition="0"/>
    </format>
    <format dxfId="31">
      <pivotArea dataOnly="0" labelOnly="1" outline="0" fieldPosition="0">
        <references count="1">
          <reference field="2" count="0"/>
        </references>
      </pivotArea>
    </format>
  </formats>
  <chartFormats count="3">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5"/>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Region" xr10:uid="{0860B87C-E846-4027-B86A-6526239781C3}" sourceName="Supplier Region">
  <pivotTables>
    <pivotTable tabId="5" name="Supplier_Consolidation_Index"/>
    <pivotTable tabId="5" name="Renewal_Risk_Pipeline"/>
    <pivotTable tabId="5" name="Savings_Slippage_Variance"/>
  </pivotTables>
  <data>
    <tabular pivotCacheId="1497881977">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Status" xr10:uid="{79C2E7A8-14BF-4F30-9B1F-AF429ED853A5}" sourceName="Contract Status">
  <pivotTables>
    <pivotTable tabId="5" name="Supplier_Consolidation_Index"/>
    <pivotTable tabId="5" name="Renewal_Risk_Pipeline"/>
    <pivotTable tabId="5" name="Savings_Slippage_Variance"/>
  </pivotTables>
  <data>
    <tabular pivotCacheId="1497881977">
      <items count="4">
        <i x="2"/>
        <i x="3"/>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Region" xr10:uid="{323056EB-6C0D-4C15-AA73-1C39894252AD}" cache="Slicer_Supplier_Region" caption="Supplier Region" style="Slicer Style 4" rowHeight="234950"/>
  <slicer name="Contract Status" xr10:uid="{9EF48BE8-6AEF-42D0-96C3-71A3DDD167DA}" cache="Slicer_Contract_Status" caption="Contract Status" style="Slicer Style 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opLeftCell="A118" workbookViewId="0">
      <selection sqref="A1:I151"/>
    </sheetView>
  </sheetViews>
  <sheetFormatPr defaultRowHeight="14.4"/>
  <cols>
    <col min="1" max="1" width="17" customWidth="1"/>
    <col min="2" max="3" width="23" customWidth="1"/>
    <col min="4" max="4" width="18" customWidth="1"/>
    <col min="5" max="5" width="19" customWidth="1"/>
    <col min="6" max="6" width="28" customWidth="1"/>
    <col min="7" max="7" width="31" customWidth="1"/>
    <col min="8" max="8" width="18" customWidth="1"/>
    <col min="9" max="9" width="24" customWidth="1"/>
  </cols>
  <sheetData>
    <row r="1" spans="1:9" ht="16.8">
      <c r="A1" s="1" t="s">
        <v>0</v>
      </c>
      <c r="B1" s="1" t="s">
        <v>1</v>
      </c>
      <c r="C1" s="1" t="s">
        <v>2</v>
      </c>
      <c r="D1" s="1" t="s">
        <v>3</v>
      </c>
      <c r="E1" s="1" t="s">
        <v>4</v>
      </c>
      <c r="F1" s="1" t="s">
        <v>5</v>
      </c>
      <c r="G1" s="1" t="s">
        <v>6</v>
      </c>
      <c r="H1" s="1" t="s">
        <v>7</v>
      </c>
      <c r="I1" s="1" t="s">
        <v>8</v>
      </c>
    </row>
    <row r="2" spans="1:9">
      <c r="A2" t="s">
        <v>9</v>
      </c>
      <c r="B2" t="s">
        <v>10</v>
      </c>
      <c r="C2" t="s">
        <v>11</v>
      </c>
      <c r="D2" t="s">
        <v>12</v>
      </c>
      <c r="E2" s="2">
        <v>780000.66</v>
      </c>
      <c r="F2" s="3">
        <v>0.1404</v>
      </c>
      <c r="G2" s="2">
        <v>93493.83</v>
      </c>
      <c r="H2" t="s">
        <v>13</v>
      </c>
      <c r="I2" t="s">
        <v>14</v>
      </c>
    </row>
    <row r="3" spans="1:9">
      <c r="A3" t="s">
        <v>15</v>
      </c>
      <c r="B3" t="s">
        <v>16</v>
      </c>
      <c r="C3" t="s">
        <v>17</v>
      </c>
      <c r="D3" t="s">
        <v>12</v>
      </c>
      <c r="E3" s="2">
        <v>1332825.58</v>
      </c>
      <c r="F3" s="3">
        <v>0.1138</v>
      </c>
      <c r="G3" s="2">
        <v>147407.24</v>
      </c>
      <c r="H3" t="s">
        <v>18</v>
      </c>
      <c r="I3" t="s">
        <v>19</v>
      </c>
    </row>
    <row r="4" spans="1:9">
      <c r="A4" t="s">
        <v>20</v>
      </c>
      <c r="B4" t="s">
        <v>21</v>
      </c>
      <c r="C4" t="s">
        <v>22</v>
      </c>
      <c r="D4" t="s">
        <v>23</v>
      </c>
      <c r="E4" s="2">
        <v>1759222.59</v>
      </c>
      <c r="F4" s="3">
        <v>2.63E-2</v>
      </c>
      <c r="G4" s="2">
        <v>36426.519999999997</v>
      </c>
      <c r="H4" t="s">
        <v>24</v>
      </c>
      <c r="I4" t="s">
        <v>25</v>
      </c>
    </row>
    <row r="5" spans="1:9">
      <c r="A5" t="s">
        <v>26</v>
      </c>
      <c r="B5" t="s">
        <v>16</v>
      </c>
      <c r="C5" t="s">
        <v>27</v>
      </c>
      <c r="D5" t="s">
        <v>23</v>
      </c>
      <c r="E5" s="2">
        <v>2001355.85</v>
      </c>
      <c r="F5" s="3">
        <v>0.1216</v>
      </c>
      <c r="G5" s="2">
        <v>262830.28000000003</v>
      </c>
      <c r="H5" t="s">
        <v>28</v>
      </c>
      <c r="I5" t="s">
        <v>29</v>
      </c>
    </row>
    <row r="6" spans="1:9">
      <c r="A6" t="s">
        <v>30</v>
      </c>
      <c r="B6" t="s">
        <v>16</v>
      </c>
      <c r="C6" t="s">
        <v>17</v>
      </c>
      <c r="D6" t="s">
        <v>23</v>
      </c>
      <c r="E6" s="2">
        <v>1175399.68</v>
      </c>
      <c r="F6" s="3">
        <v>0.12759999999999999</v>
      </c>
      <c r="G6" s="2">
        <v>152161.42000000001</v>
      </c>
      <c r="H6" t="s">
        <v>28</v>
      </c>
      <c r="I6" t="s">
        <v>31</v>
      </c>
    </row>
    <row r="7" spans="1:9">
      <c r="A7" t="s">
        <v>32</v>
      </c>
      <c r="B7" t="s">
        <v>33</v>
      </c>
      <c r="C7" t="s">
        <v>11</v>
      </c>
      <c r="D7" t="s">
        <v>34</v>
      </c>
      <c r="E7" s="2">
        <v>2113123.9700000002</v>
      </c>
      <c r="F7" s="3">
        <v>0.1176</v>
      </c>
      <c r="G7" s="2">
        <v>182839.94</v>
      </c>
      <c r="H7" t="s">
        <v>18</v>
      </c>
      <c r="I7" t="s">
        <v>35</v>
      </c>
    </row>
    <row r="8" spans="1:9">
      <c r="A8" t="s">
        <v>36</v>
      </c>
      <c r="B8" t="s">
        <v>21</v>
      </c>
      <c r="C8" t="s">
        <v>27</v>
      </c>
      <c r="D8" t="s">
        <v>23</v>
      </c>
      <c r="E8" s="2">
        <v>1933848.47</v>
      </c>
      <c r="F8" s="3">
        <v>0.1239</v>
      </c>
      <c r="G8" s="2">
        <v>207744.26</v>
      </c>
      <c r="H8" t="s">
        <v>18</v>
      </c>
      <c r="I8" t="s">
        <v>37</v>
      </c>
    </row>
    <row r="9" spans="1:9">
      <c r="A9" t="s">
        <v>38</v>
      </c>
      <c r="B9" t="s">
        <v>21</v>
      </c>
      <c r="C9" t="s">
        <v>39</v>
      </c>
      <c r="E9" s="2">
        <v>212278.15</v>
      </c>
      <c r="F9" s="3">
        <v>0.1273</v>
      </c>
      <c r="G9" s="2">
        <v>28418.67</v>
      </c>
      <c r="H9" t="s">
        <v>13</v>
      </c>
      <c r="I9" t="s">
        <v>40</v>
      </c>
    </row>
    <row r="10" spans="1:9">
      <c r="A10" t="s">
        <v>41</v>
      </c>
      <c r="B10" t="s">
        <v>21</v>
      </c>
      <c r="C10" t="s">
        <v>42</v>
      </c>
      <c r="E10" s="2">
        <v>162360.1</v>
      </c>
      <c r="F10" s="3">
        <v>4.4200000000000003E-2</v>
      </c>
      <c r="G10" s="2">
        <v>7735.3</v>
      </c>
      <c r="H10" t="s">
        <v>28</v>
      </c>
      <c r="I10" t="s">
        <v>43</v>
      </c>
    </row>
    <row r="11" spans="1:9">
      <c r="A11" t="s">
        <v>44</v>
      </c>
      <c r="B11" t="s">
        <v>16</v>
      </c>
      <c r="C11" t="s">
        <v>39</v>
      </c>
      <c r="E11" s="2">
        <v>1570973.93</v>
      </c>
      <c r="F11" s="3">
        <v>5.0599999999999999E-2</v>
      </c>
      <c r="G11" s="2">
        <v>70505.63</v>
      </c>
      <c r="H11" t="s">
        <v>24</v>
      </c>
      <c r="I11" t="s">
        <v>45</v>
      </c>
    </row>
    <row r="12" spans="1:9">
      <c r="A12" t="s">
        <v>46</v>
      </c>
      <c r="B12" t="s">
        <v>10</v>
      </c>
      <c r="C12" t="s">
        <v>47</v>
      </c>
      <c r="E12" s="2">
        <v>25000000</v>
      </c>
      <c r="F12" s="3">
        <v>0.1024</v>
      </c>
      <c r="G12" s="2">
        <v>2420133.2599999998</v>
      </c>
      <c r="H12" t="s">
        <v>18</v>
      </c>
      <c r="I12" t="s">
        <v>48</v>
      </c>
    </row>
    <row r="13" spans="1:9">
      <c r="A13" t="s">
        <v>49</v>
      </c>
      <c r="B13" t="s">
        <v>21</v>
      </c>
      <c r="C13" t="s">
        <v>50</v>
      </c>
      <c r="D13" t="s">
        <v>23</v>
      </c>
      <c r="E13" s="2">
        <v>562370.43999999994</v>
      </c>
      <c r="F13" s="3">
        <v>0.13800000000000001</v>
      </c>
      <c r="G13" s="2">
        <v>59510.19</v>
      </c>
      <c r="H13" t="s">
        <v>24</v>
      </c>
      <c r="I13" t="s">
        <v>51</v>
      </c>
    </row>
    <row r="14" spans="1:9">
      <c r="A14" t="s">
        <v>52</v>
      </c>
      <c r="B14" t="s">
        <v>53</v>
      </c>
      <c r="C14" t="s">
        <v>54</v>
      </c>
      <c r="D14" t="s">
        <v>23</v>
      </c>
      <c r="E14" s="2">
        <v>1470142.34</v>
      </c>
      <c r="F14" s="3">
        <v>6.1100000000000002E-2</v>
      </c>
      <c r="G14" s="2">
        <v>98490.95</v>
      </c>
      <c r="H14" t="s">
        <v>24</v>
      </c>
      <c r="I14" t="s">
        <v>55</v>
      </c>
    </row>
    <row r="15" spans="1:9">
      <c r="A15" t="s">
        <v>56</v>
      </c>
      <c r="B15" t="s">
        <v>16</v>
      </c>
      <c r="C15" t="s">
        <v>54</v>
      </c>
      <c r="D15" t="s">
        <v>34</v>
      </c>
      <c r="E15" s="2">
        <v>886829.87</v>
      </c>
      <c r="F15" s="3">
        <v>9.6500000000000002E-2</v>
      </c>
      <c r="G15" s="2">
        <v>67835.86</v>
      </c>
      <c r="H15" t="s">
        <v>28</v>
      </c>
      <c r="I15" t="s">
        <v>57</v>
      </c>
    </row>
    <row r="16" spans="1:9">
      <c r="A16" t="s">
        <v>58</v>
      </c>
      <c r="B16" t="s">
        <v>33</v>
      </c>
      <c r="C16" t="s">
        <v>47</v>
      </c>
      <c r="D16" t="s">
        <v>59</v>
      </c>
      <c r="E16" s="2">
        <v>1366295.37</v>
      </c>
      <c r="F16" s="3">
        <v>0.10879999999999999</v>
      </c>
      <c r="G16" s="2">
        <v>160112.99</v>
      </c>
      <c r="H16" t="s">
        <v>28</v>
      </c>
      <c r="I16" t="s">
        <v>60</v>
      </c>
    </row>
    <row r="17" spans="1:9">
      <c r="A17" t="s">
        <v>61</v>
      </c>
      <c r="B17" t="s">
        <v>10</v>
      </c>
      <c r="C17" t="s">
        <v>54</v>
      </c>
      <c r="D17" t="s">
        <v>12</v>
      </c>
      <c r="E17" s="2">
        <v>1177291.94</v>
      </c>
      <c r="F17" s="3">
        <v>7.8799999999999995E-2</v>
      </c>
      <c r="G17" s="2">
        <v>89046.67</v>
      </c>
      <c r="H17" t="s">
        <v>18</v>
      </c>
      <c r="I17" t="s">
        <v>62</v>
      </c>
    </row>
    <row r="18" spans="1:9">
      <c r="A18" t="s">
        <v>63</v>
      </c>
      <c r="B18" t="s">
        <v>53</v>
      </c>
      <c r="C18" t="s">
        <v>50</v>
      </c>
      <c r="D18" t="s">
        <v>34</v>
      </c>
      <c r="E18" s="2">
        <v>1482676.96</v>
      </c>
      <c r="F18" s="3">
        <v>0.1128</v>
      </c>
      <c r="G18" s="2">
        <v>157728.78</v>
      </c>
      <c r="H18" t="s">
        <v>28</v>
      </c>
      <c r="I18" t="s">
        <v>64</v>
      </c>
    </row>
    <row r="19" spans="1:9">
      <c r="A19" t="s">
        <v>65</v>
      </c>
      <c r="B19" t="s">
        <v>53</v>
      </c>
      <c r="C19" t="s">
        <v>39</v>
      </c>
      <c r="D19" t="s">
        <v>23</v>
      </c>
      <c r="E19" s="2">
        <v>1030736.2</v>
      </c>
      <c r="F19" s="3">
        <v>0.13700000000000001</v>
      </c>
      <c r="G19" s="2">
        <v>127806.48</v>
      </c>
      <c r="H19" t="s">
        <v>28</v>
      </c>
      <c r="I19" t="s">
        <v>66</v>
      </c>
    </row>
    <row r="20" spans="1:9">
      <c r="A20" t="s">
        <v>67</v>
      </c>
      <c r="B20" t="s">
        <v>33</v>
      </c>
      <c r="C20" t="s">
        <v>22</v>
      </c>
      <c r="E20" s="2">
        <v>1759285.56</v>
      </c>
      <c r="F20" s="3">
        <v>0.1011</v>
      </c>
      <c r="G20" s="2">
        <v>140915.76</v>
      </c>
      <c r="H20" t="s">
        <v>28</v>
      </c>
      <c r="I20" t="s">
        <v>68</v>
      </c>
    </row>
    <row r="21" spans="1:9">
      <c r="A21" t="s">
        <v>69</v>
      </c>
      <c r="B21" t="s">
        <v>10</v>
      </c>
      <c r="C21" t="s">
        <v>50</v>
      </c>
      <c r="D21" t="s">
        <v>23</v>
      </c>
      <c r="E21" s="2">
        <v>491164.82</v>
      </c>
      <c r="F21" s="3">
        <v>9.0200000000000002E-2</v>
      </c>
      <c r="G21" s="2">
        <v>34140.44</v>
      </c>
      <c r="H21" t="s">
        <v>24</v>
      </c>
      <c r="I21" t="s">
        <v>70</v>
      </c>
    </row>
    <row r="22" spans="1:9">
      <c r="A22" t="s">
        <v>71</v>
      </c>
      <c r="B22" t="s">
        <v>16</v>
      </c>
      <c r="C22" t="s">
        <v>47</v>
      </c>
      <c r="D22" t="s">
        <v>34</v>
      </c>
      <c r="E22" s="2">
        <v>1756428.59</v>
      </c>
      <c r="F22" s="3">
        <v>7.6999999999999999E-2</v>
      </c>
      <c r="G22" s="2">
        <v>106599.36</v>
      </c>
      <c r="H22" t="s">
        <v>18</v>
      </c>
      <c r="I22" t="s">
        <v>72</v>
      </c>
    </row>
    <row r="23" spans="1:9">
      <c r="A23" t="s">
        <v>73</v>
      </c>
      <c r="B23" t="s">
        <v>74</v>
      </c>
      <c r="C23" t="s">
        <v>27</v>
      </c>
      <c r="D23" t="s">
        <v>12</v>
      </c>
      <c r="E23" s="2">
        <v>1058569.98</v>
      </c>
      <c r="F23" s="3">
        <v>9.5100000000000004E-2</v>
      </c>
      <c r="G23" s="2">
        <v>77976.5</v>
      </c>
      <c r="H23" t="s">
        <v>13</v>
      </c>
      <c r="I23" t="s">
        <v>75</v>
      </c>
    </row>
    <row r="24" spans="1:9">
      <c r="A24" t="s">
        <v>76</v>
      </c>
      <c r="B24" t="s">
        <v>10</v>
      </c>
      <c r="C24" t="s">
        <v>77</v>
      </c>
      <c r="D24" t="s">
        <v>23</v>
      </c>
      <c r="E24" s="2">
        <v>2192078.13</v>
      </c>
      <c r="F24" s="3">
        <v>6.6199999999999995E-2</v>
      </c>
      <c r="G24" s="2">
        <v>146832.84</v>
      </c>
      <c r="H24" t="s">
        <v>24</v>
      </c>
      <c r="I24" t="s">
        <v>78</v>
      </c>
    </row>
    <row r="25" spans="1:9">
      <c r="A25" t="s">
        <v>79</v>
      </c>
      <c r="B25" t="s">
        <v>33</v>
      </c>
      <c r="C25" t="s">
        <v>17</v>
      </c>
      <c r="D25" t="s">
        <v>12</v>
      </c>
      <c r="E25" s="2">
        <v>1312328.33</v>
      </c>
      <c r="F25" s="3">
        <v>7.0900000000000005E-2</v>
      </c>
      <c r="G25" s="2">
        <v>78161.69</v>
      </c>
      <c r="H25" t="s">
        <v>28</v>
      </c>
      <c r="I25" t="s">
        <v>80</v>
      </c>
    </row>
    <row r="26" spans="1:9">
      <c r="A26" t="s">
        <v>81</v>
      </c>
      <c r="B26" t="s">
        <v>53</v>
      </c>
      <c r="C26" t="s">
        <v>50</v>
      </c>
      <c r="D26" t="s">
        <v>59</v>
      </c>
      <c r="E26" s="2">
        <v>2434120.36</v>
      </c>
      <c r="F26" s="3">
        <v>8.9099999999999999E-2</v>
      </c>
      <c r="G26" s="2">
        <v>156834.06</v>
      </c>
      <c r="H26" t="s">
        <v>24</v>
      </c>
      <c r="I26" t="s">
        <v>82</v>
      </c>
    </row>
    <row r="27" spans="1:9">
      <c r="A27" t="s">
        <v>83</v>
      </c>
      <c r="B27" t="s">
        <v>16</v>
      </c>
      <c r="C27" t="s">
        <v>77</v>
      </c>
      <c r="D27" t="s">
        <v>59</v>
      </c>
      <c r="E27" s="2">
        <v>1524741.72</v>
      </c>
      <c r="F27" s="3">
        <v>2.87E-2</v>
      </c>
      <c r="G27" s="2">
        <v>47595.27</v>
      </c>
      <c r="H27" t="s">
        <v>28</v>
      </c>
      <c r="I27" t="s">
        <v>84</v>
      </c>
    </row>
    <row r="28" spans="1:9">
      <c r="A28" t="s">
        <v>85</v>
      </c>
      <c r="B28" t="s">
        <v>10</v>
      </c>
      <c r="C28" t="s">
        <v>86</v>
      </c>
      <c r="D28" t="s">
        <v>23</v>
      </c>
      <c r="E28" s="2">
        <v>598430.21</v>
      </c>
      <c r="F28" s="3">
        <v>4.9799999999999997E-2</v>
      </c>
      <c r="G28" s="2">
        <v>31396.65</v>
      </c>
      <c r="H28" t="s">
        <v>28</v>
      </c>
      <c r="I28" t="s">
        <v>87</v>
      </c>
    </row>
    <row r="29" spans="1:9">
      <c r="A29" t="s">
        <v>88</v>
      </c>
      <c r="B29" t="s">
        <v>74</v>
      </c>
      <c r="C29" t="s">
        <v>50</v>
      </c>
      <c r="D29" t="s">
        <v>59</v>
      </c>
      <c r="E29" s="2">
        <v>2063387.06</v>
      </c>
      <c r="F29" s="3">
        <v>9.06E-2</v>
      </c>
      <c r="G29" s="2">
        <v>200234.68</v>
      </c>
      <c r="H29" t="s">
        <v>24</v>
      </c>
      <c r="I29" t="s">
        <v>89</v>
      </c>
    </row>
    <row r="30" spans="1:9">
      <c r="A30" t="s">
        <v>90</v>
      </c>
      <c r="B30" t="s">
        <v>74</v>
      </c>
      <c r="C30" t="s">
        <v>86</v>
      </c>
      <c r="D30" t="s">
        <v>23</v>
      </c>
      <c r="E30" s="2">
        <v>895452.44</v>
      </c>
      <c r="F30" s="3">
        <v>7.6100000000000001E-2</v>
      </c>
      <c r="G30" s="2">
        <v>74819.520000000004</v>
      </c>
      <c r="H30" t="s">
        <v>18</v>
      </c>
      <c r="I30" t="s">
        <v>91</v>
      </c>
    </row>
    <row r="31" spans="1:9">
      <c r="A31" t="s">
        <v>92</v>
      </c>
      <c r="B31" t="s">
        <v>21</v>
      </c>
      <c r="C31" t="s">
        <v>39</v>
      </c>
      <c r="D31" t="s">
        <v>34</v>
      </c>
      <c r="E31" s="2">
        <v>901667.08</v>
      </c>
      <c r="F31" s="3">
        <v>6.3299999999999995E-2</v>
      </c>
      <c r="G31" s="2">
        <v>43922.93</v>
      </c>
      <c r="H31" t="s">
        <v>28</v>
      </c>
      <c r="I31" t="s">
        <v>93</v>
      </c>
    </row>
    <row r="32" spans="1:9">
      <c r="A32" t="s">
        <v>94</v>
      </c>
      <c r="B32" t="s">
        <v>21</v>
      </c>
      <c r="C32" t="s">
        <v>47</v>
      </c>
      <c r="D32" t="s">
        <v>34</v>
      </c>
      <c r="E32" s="2">
        <v>127921.47</v>
      </c>
      <c r="F32" s="3">
        <v>0.115</v>
      </c>
      <c r="G32" s="2">
        <v>12629.32</v>
      </c>
      <c r="H32" t="s">
        <v>18</v>
      </c>
      <c r="I32" t="s">
        <v>95</v>
      </c>
    </row>
    <row r="33" spans="1:9">
      <c r="A33" t="s">
        <v>96</v>
      </c>
      <c r="B33" t="s">
        <v>33</v>
      </c>
      <c r="C33" t="s">
        <v>39</v>
      </c>
      <c r="D33" t="s">
        <v>23</v>
      </c>
      <c r="E33" s="2">
        <v>1394352.51</v>
      </c>
      <c r="F33" s="3">
        <v>0.11020000000000001</v>
      </c>
      <c r="G33" s="2">
        <v>154164.01</v>
      </c>
      <c r="H33" t="s">
        <v>13</v>
      </c>
      <c r="I33" t="s">
        <v>97</v>
      </c>
    </row>
    <row r="34" spans="1:9">
      <c r="A34" t="s">
        <v>98</v>
      </c>
      <c r="B34" t="s">
        <v>10</v>
      </c>
      <c r="C34" t="s">
        <v>22</v>
      </c>
      <c r="D34" t="s">
        <v>59</v>
      </c>
      <c r="E34" s="2">
        <v>1359337.58</v>
      </c>
      <c r="F34" s="3">
        <v>4.1700000000000001E-2</v>
      </c>
      <c r="G34" s="2">
        <v>55460.46</v>
      </c>
      <c r="H34" t="s">
        <v>28</v>
      </c>
      <c r="I34" t="s">
        <v>99</v>
      </c>
    </row>
    <row r="35" spans="1:9">
      <c r="A35" t="s">
        <v>100</v>
      </c>
      <c r="B35" t="s">
        <v>10</v>
      </c>
      <c r="C35" t="s">
        <v>47</v>
      </c>
      <c r="E35" s="2">
        <v>922179.14</v>
      </c>
      <c r="F35" s="3">
        <v>0.13420000000000001</v>
      </c>
      <c r="G35" s="2">
        <v>94247.75</v>
      </c>
      <c r="H35" t="s">
        <v>18</v>
      </c>
      <c r="I35" t="s">
        <v>101</v>
      </c>
    </row>
    <row r="36" spans="1:9">
      <c r="A36" t="s">
        <v>102</v>
      </c>
      <c r="B36" t="s">
        <v>53</v>
      </c>
      <c r="C36" t="s">
        <v>39</v>
      </c>
      <c r="E36" s="2">
        <v>2240832.29</v>
      </c>
      <c r="F36" s="3">
        <v>8.4400000000000003E-2</v>
      </c>
      <c r="G36" s="2">
        <v>194106.55</v>
      </c>
      <c r="H36" t="s">
        <v>18</v>
      </c>
      <c r="I36" t="s">
        <v>103</v>
      </c>
    </row>
    <row r="37" spans="1:9">
      <c r="A37" t="s">
        <v>104</v>
      </c>
      <c r="B37" t="s">
        <v>53</v>
      </c>
      <c r="C37" t="s">
        <v>86</v>
      </c>
      <c r="D37" t="s">
        <v>59</v>
      </c>
      <c r="E37" s="2">
        <v>365433.58</v>
      </c>
      <c r="F37" s="3">
        <v>0.1164</v>
      </c>
      <c r="G37" s="2">
        <v>33594.29</v>
      </c>
      <c r="H37" t="s">
        <v>13</v>
      </c>
      <c r="I37" t="s">
        <v>105</v>
      </c>
    </row>
    <row r="38" spans="1:9">
      <c r="A38" t="s">
        <v>106</v>
      </c>
      <c r="B38" t="s">
        <v>53</v>
      </c>
      <c r="C38" t="s">
        <v>54</v>
      </c>
      <c r="E38" s="2">
        <v>858743.81</v>
      </c>
      <c r="F38" s="3">
        <v>9.4500000000000001E-2</v>
      </c>
      <c r="G38" s="2">
        <v>64071.14</v>
      </c>
      <c r="H38" t="s">
        <v>18</v>
      </c>
      <c r="I38" t="s">
        <v>107</v>
      </c>
    </row>
    <row r="39" spans="1:9">
      <c r="A39" t="s">
        <v>108</v>
      </c>
      <c r="B39" t="s">
        <v>21</v>
      </c>
      <c r="C39" t="s">
        <v>22</v>
      </c>
      <c r="D39" t="s">
        <v>34</v>
      </c>
      <c r="E39" s="2">
        <v>837877.77</v>
      </c>
      <c r="F39" s="3">
        <v>0.1497</v>
      </c>
      <c r="G39" s="2">
        <v>114742.36</v>
      </c>
      <c r="H39" t="s">
        <v>18</v>
      </c>
      <c r="I39" t="s">
        <v>109</v>
      </c>
    </row>
    <row r="40" spans="1:9">
      <c r="A40" t="s">
        <v>110</v>
      </c>
      <c r="B40" t="s">
        <v>10</v>
      </c>
      <c r="C40" t="s">
        <v>11</v>
      </c>
      <c r="D40" t="s">
        <v>12</v>
      </c>
      <c r="E40" s="2">
        <v>276111.94</v>
      </c>
      <c r="F40" s="3">
        <v>0.1178</v>
      </c>
      <c r="G40" s="2">
        <v>30482.57</v>
      </c>
      <c r="H40" t="s">
        <v>13</v>
      </c>
      <c r="I40" t="s">
        <v>111</v>
      </c>
    </row>
    <row r="41" spans="1:9">
      <c r="A41" t="s">
        <v>112</v>
      </c>
      <c r="B41" t="s">
        <v>10</v>
      </c>
      <c r="C41" t="s">
        <v>27</v>
      </c>
      <c r="D41" t="s">
        <v>59</v>
      </c>
      <c r="E41" s="2">
        <v>1228806.22</v>
      </c>
      <c r="F41" s="3">
        <v>0.1119</v>
      </c>
      <c r="G41" s="2">
        <v>128157.93</v>
      </c>
      <c r="H41" t="s">
        <v>28</v>
      </c>
      <c r="I41" t="s">
        <v>113</v>
      </c>
    </row>
    <row r="42" spans="1:9">
      <c r="A42" t="s">
        <v>114</v>
      </c>
      <c r="B42" t="s">
        <v>74</v>
      </c>
      <c r="C42" t="s">
        <v>42</v>
      </c>
      <c r="E42" s="2">
        <v>1735072.56</v>
      </c>
      <c r="F42" s="3">
        <v>0.1212</v>
      </c>
      <c r="G42" s="2">
        <v>154899.09</v>
      </c>
      <c r="H42" t="s">
        <v>18</v>
      </c>
      <c r="I42" t="s">
        <v>60</v>
      </c>
    </row>
    <row r="43" spans="1:9">
      <c r="A43" t="s">
        <v>115</v>
      </c>
      <c r="B43" t="s">
        <v>21</v>
      </c>
      <c r="C43" t="s">
        <v>42</v>
      </c>
      <c r="E43" s="2">
        <v>1303559.6799999999</v>
      </c>
      <c r="F43" s="3">
        <v>3.8600000000000002E-2</v>
      </c>
      <c r="G43" s="2">
        <v>52882.8</v>
      </c>
      <c r="H43" t="s">
        <v>18</v>
      </c>
      <c r="I43" t="s">
        <v>116</v>
      </c>
    </row>
    <row r="44" spans="1:9">
      <c r="A44" t="s">
        <v>117</v>
      </c>
      <c r="B44" t="s">
        <v>16</v>
      </c>
      <c r="C44" t="s">
        <v>39</v>
      </c>
      <c r="D44" t="s">
        <v>12</v>
      </c>
      <c r="E44" s="2">
        <v>434595.32</v>
      </c>
      <c r="F44" s="3">
        <v>4.6600000000000003E-2</v>
      </c>
      <c r="G44" s="2">
        <v>16328.09</v>
      </c>
      <c r="H44" t="s">
        <v>18</v>
      </c>
      <c r="I44" t="s">
        <v>118</v>
      </c>
    </row>
    <row r="45" spans="1:9">
      <c r="A45" t="s">
        <v>119</v>
      </c>
      <c r="B45" t="s">
        <v>21</v>
      </c>
      <c r="C45" t="s">
        <v>120</v>
      </c>
      <c r="D45" t="s">
        <v>12</v>
      </c>
      <c r="E45" s="2">
        <v>974350.61</v>
      </c>
      <c r="F45" s="3">
        <v>0.1128</v>
      </c>
      <c r="G45" s="2">
        <v>82628.55</v>
      </c>
      <c r="H45" t="s">
        <v>24</v>
      </c>
      <c r="I45" t="s">
        <v>121</v>
      </c>
    </row>
    <row r="46" spans="1:9">
      <c r="A46" t="s">
        <v>122</v>
      </c>
      <c r="B46" t="s">
        <v>16</v>
      </c>
      <c r="C46" t="s">
        <v>42</v>
      </c>
      <c r="D46" t="s">
        <v>12</v>
      </c>
      <c r="E46" s="2">
        <v>56357.81</v>
      </c>
      <c r="F46" s="3">
        <v>8.4199999999999997E-2</v>
      </c>
      <c r="G46" s="2">
        <v>5008.6899999999996</v>
      </c>
      <c r="H46" t="s">
        <v>13</v>
      </c>
      <c r="I46" t="s">
        <v>123</v>
      </c>
    </row>
    <row r="47" spans="1:9">
      <c r="A47" t="s">
        <v>124</v>
      </c>
      <c r="B47" t="s">
        <v>74</v>
      </c>
      <c r="C47" t="s">
        <v>50</v>
      </c>
      <c r="D47" t="s">
        <v>23</v>
      </c>
      <c r="E47" s="2">
        <v>-50000</v>
      </c>
      <c r="F47" s="3">
        <v>0.1181</v>
      </c>
      <c r="G47" s="2">
        <v>0</v>
      </c>
      <c r="H47" t="s">
        <v>24</v>
      </c>
      <c r="I47" t="s">
        <v>125</v>
      </c>
    </row>
    <row r="48" spans="1:9">
      <c r="A48" t="s">
        <v>126</v>
      </c>
      <c r="B48" t="s">
        <v>33</v>
      </c>
      <c r="C48" t="s">
        <v>47</v>
      </c>
      <c r="D48" t="s">
        <v>34</v>
      </c>
      <c r="E48" s="2">
        <v>257066.67</v>
      </c>
      <c r="F48" s="3">
        <v>3.3399999999999999E-2</v>
      </c>
      <c r="G48" s="2">
        <v>8971.1200000000008</v>
      </c>
      <c r="H48" t="s">
        <v>13</v>
      </c>
      <c r="I48" t="s">
        <v>127</v>
      </c>
    </row>
    <row r="49" spans="1:9">
      <c r="A49" t="s">
        <v>128</v>
      </c>
      <c r="B49" t="s">
        <v>10</v>
      </c>
      <c r="C49" t="s">
        <v>27</v>
      </c>
      <c r="E49" s="2">
        <v>1513331.3</v>
      </c>
      <c r="F49" s="3">
        <v>8.9700000000000002E-2</v>
      </c>
      <c r="G49" s="2">
        <v>138977.44</v>
      </c>
      <c r="H49" t="s">
        <v>28</v>
      </c>
      <c r="I49" t="s">
        <v>129</v>
      </c>
    </row>
    <row r="50" spans="1:9">
      <c r="A50" t="s">
        <v>130</v>
      </c>
      <c r="B50" t="s">
        <v>74</v>
      </c>
      <c r="C50" t="s">
        <v>50</v>
      </c>
      <c r="D50" t="s">
        <v>23</v>
      </c>
      <c r="E50" s="2">
        <v>2466329.64</v>
      </c>
      <c r="F50" s="3">
        <v>6.9199999999999998E-2</v>
      </c>
      <c r="G50" s="2">
        <v>164201.07</v>
      </c>
      <c r="H50" t="s">
        <v>28</v>
      </c>
      <c r="I50" t="s">
        <v>131</v>
      </c>
    </row>
    <row r="51" spans="1:9">
      <c r="A51" t="s">
        <v>132</v>
      </c>
      <c r="B51" t="s">
        <v>10</v>
      </c>
      <c r="C51" t="s">
        <v>54</v>
      </c>
      <c r="D51" t="s">
        <v>23</v>
      </c>
      <c r="E51" s="2">
        <v>1364647.08</v>
      </c>
      <c r="F51" s="3">
        <v>7.9399999999999998E-2</v>
      </c>
      <c r="G51" s="2">
        <v>99721.9</v>
      </c>
      <c r="H51" t="s">
        <v>18</v>
      </c>
      <c r="I51" t="s">
        <v>133</v>
      </c>
    </row>
    <row r="52" spans="1:9">
      <c r="A52" t="s">
        <v>134</v>
      </c>
      <c r="B52" t="s">
        <v>53</v>
      </c>
      <c r="C52" t="s">
        <v>47</v>
      </c>
      <c r="D52" t="s">
        <v>34</v>
      </c>
      <c r="E52" s="2">
        <v>2313902.31</v>
      </c>
      <c r="F52" s="3">
        <v>9.8500000000000004E-2</v>
      </c>
      <c r="G52" s="2">
        <v>167473.95000000001</v>
      </c>
      <c r="H52" t="s">
        <v>13</v>
      </c>
      <c r="I52" t="s">
        <v>135</v>
      </c>
    </row>
    <row r="53" spans="1:9">
      <c r="A53" t="s">
        <v>136</v>
      </c>
      <c r="B53" t="s">
        <v>33</v>
      </c>
      <c r="C53" t="s">
        <v>17</v>
      </c>
      <c r="D53" t="s">
        <v>23</v>
      </c>
      <c r="E53" s="2">
        <v>628485.51</v>
      </c>
      <c r="F53" s="3">
        <v>8.5300000000000001E-2</v>
      </c>
      <c r="G53" s="2">
        <v>46285.71</v>
      </c>
      <c r="H53" t="s">
        <v>28</v>
      </c>
      <c r="I53" t="s">
        <v>137</v>
      </c>
    </row>
    <row r="54" spans="1:9">
      <c r="A54" t="s">
        <v>138</v>
      </c>
      <c r="B54" t="s">
        <v>33</v>
      </c>
      <c r="C54" t="s">
        <v>54</v>
      </c>
      <c r="D54" t="s">
        <v>12</v>
      </c>
      <c r="E54" s="2">
        <v>1911890.75</v>
      </c>
      <c r="F54" s="3">
        <v>9.0200000000000002E-2</v>
      </c>
      <c r="G54" s="2">
        <v>146425.22</v>
      </c>
      <c r="H54" t="s">
        <v>13</v>
      </c>
      <c r="I54" t="s">
        <v>139</v>
      </c>
    </row>
    <row r="55" spans="1:9">
      <c r="A55" t="s">
        <v>140</v>
      </c>
      <c r="B55" t="s">
        <v>74</v>
      </c>
      <c r="C55" t="s">
        <v>22</v>
      </c>
      <c r="D55" t="s">
        <v>34</v>
      </c>
      <c r="E55" s="2">
        <v>1351601.1</v>
      </c>
      <c r="F55" s="3">
        <v>8.3199999999999996E-2</v>
      </c>
      <c r="G55" s="2">
        <v>90401.31</v>
      </c>
      <c r="H55" t="s">
        <v>28</v>
      </c>
      <c r="I55" t="s">
        <v>141</v>
      </c>
    </row>
    <row r="56" spans="1:9">
      <c r="A56" t="s">
        <v>142</v>
      </c>
      <c r="B56" t="s">
        <v>33</v>
      </c>
      <c r="C56" t="s">
        <v>42</v>
      </c>
      <c r="E56" s="2">
        <v>1815264.35</v>
      </c>
      <c r="F56" s="3">
        <v>7.3200000000000001E-2</v>
      </c>
      <c r="G56" s="2">
        <v>131464.6</v>
      </c>
      <c r="H56" t="s">
        <v>24</v>
      </c>
      <c r="I56" t="s">
        <v>143</v>
      </c>
    </row>
    <row r="57" spans="1:9">
      <c r="A57" t="s">
        <v>144</v>
      </c>
      <c r="B57" t="s">
        <v>16</v>
      </c>
      <c r="C57" t="s">
        <v>86</v>
      </c>
      <c r="D57" t="s">
        <v>34</v>
      </c>
      <c r="E57" s="2">
        <v>202736.34</v>
      </c>
      <c r="F57" s="3">
        <v>0.1203</v>
      </c>
      <c r="G57" s="2">
        <v>21910.03</v>
      </c>
      <c r="H57" t="s">
        <v>28</v>
      </c>
      <c r="I57" t="s">
        <v>145</v>
      </c>
    </row>
    <row r="58" spans="1:9">
      <c r="A58" t="s">
        <v>146</v>
      </c>
      <c r="B58" t="s">
        <v>33</v>
      </c>
      <c r="C58" t="s">
        <v>27</v>
      </c>
      <c r="D58" t="s">
        <v>59</v>
      </c>
      <c r="E58" s="2">
        <v>411960.78</v>
      </c>
      <c r="F58" s="3">
        <v>2.1600000000000001E-2</v>
      </c>
      <c r="G58" s="2">
        <v>6517.32</v>
      </c>
      <c r="H58" t="s">
        <v>24</v>
      </c>
      <c r="I58" t="s">
        <v>147</v>
      </c>
    </row>
    <row r="59" spans="1:9">
      <c r="A59" t="s">
        <v>148</v>
      </c>
      <c r="B59" t="s">
        <v>10</v>
      </c>
      <c r="C59" t="s">
        <v>39</v>
      </c>
      <c r="D59" t="s">
        <v>23</v>
      </c>
      <c r="E59" s="2">
        <v>376136.48</v>
      </c>
      <c r="F59" s="3">
        <v>9.7799999999999998E-2</v>
      </c>
      <c r="G59" s="2">
        <v>28990.18</v>
      </c>
      <c r="H59" t="s">
        <v>28</v>
      </c>
      <c r="I59" t="s">
        <v>149</v>
      </c>
    </row>
    <row r="60" spans="1:9">
      <c r="A60" t="s">
        <v>150</v>
      </c>
      <c r="B60" t="s">
        <v>10</v>
      </c>
      <c r="C60" t="s">
        <v>27</v>
      </c>
      <c r="D60" t="s">
        <v>34</v>
      </c>
      <c r="E60" s="2">
        <v>1733555.49</v>
      </c>
      <c r="F60" s="3">
        <v>9.35E-2</v>
      </c>
      <c r="G60" s="2">
        <v>157760.26999999999</v>
      </c>
      <c r="H60" t="s">
        <v>18</v>
      </c>
      <c r="I60" t="s">
        <v>116</v>
      </c>
    </row>
    <row r="61" spans="1:9">
      <c r="A61" t="s">
        <v>151</v>
      </c>
      <c r="B61" t="s">
        <v>10</v>
      </c>
      <c r="C61" t="s">
        <v>86</v>
      </c>
      <c r="D61" t="s">
        <v>12</v>
      </c>
      <c r="E61" s="2">
        <v>2118879.65</v>
      </c>
      <c r="F61" s="3">
        <v>0.11310000000000001</v>
      </c>
      <c r="G61" s="2">
        <v>175049.46</v>
      </c>
      <c r="H61" t="s">
        <v>24</v>
      </c>
      <c r="I61" t="s">
        <v>152</v>
      </c>
    </row>
    <row r="62" spans="1:9">
      <c r="A62" t="s">
        <v>153</v>
      </c>
      <c r="B62" t="s">
        <v>10</v>
      </c>
      <c r="C62" t="s">
        <v>54</v>
      </c>
      <c r="D62" t="s">
        <v>34</v>
      </c>
      <c r="E62" s="2">
        <v>1886559.77</v>
      </c>
      <c r="F62" s="3">
        <v>9.7900000000000001E-2</v>
      </c>
      <c r="G62" s="2">
        <v>192171.13</v>
      </c>
      <c r="H62" t="s">
        <v>28</v>
      </c>
      <c r="I62" t="s">
        <v>154</v>
      </c>
    </row>
    <row r="63" spans="1:9">
      <c r="A63" t="s">
        <v>155</v>
      </c>
      <c r="B63" t="s">
        <v>16</v>
      </c>
      <c r="C63" t="s">
        <v>47</v>
      </c>
      <c r="D63" t="s">
        <v>59</v>
      </c>
      <c r="E63" s="2">
        <v>124656.77</v>
      </c>
      <c r="F63" s="3">
        <v>0.1275</v>
      </c>
      <c r="G63" s="2">
        <v>14273.51</v>
      </c>
      <c r="H63" t="s">
        <v>18</v>
      </c>
      <c r="I63" t="s">
        <v>156</v>
      </c>
    </row>
    <row r="64" spans="1:9">
      <c r="A64" t="s">
        <v>157</v>
      </c>
      <c r="B64" t="s">
        <v>21</v>
      </c>
      <c r="C64" t="s">
        <v>86</v>
      </c>
      <c r="D64" t="s">
        <v>23</v>
      </c>
      <c r="E64" s="2">
        <v>2174676.7000000002</v>
      </c>
      <c r="F64" s="3">
        <v>0.1447</v>
      </c>
      <c r="G64" s="2">
        <v>280764.57</v>
      </c>
      <c r="H64" t="s">
        <v>24</v>
      </c>
      <c r="I64" t="s">
        <v>158</v>
      </c>
    </row>
    <row r="65" spans="1:9">
      <c r="A65" t="s">
        <v>159</v>
      </c>
      <c r="B65" t="s">
        <v>53</v>
      </c>
      <c r="C65" t="s">
        <v>11</v>
      </c>
      <c r="D65" t="s">
        <v>34</v>
      </c>
      <c r="E65" s="2">
        <v>917659.34</v>
      </c>
      <c r="F65" s="3">
        <v>6.4500000000000002E-2</v>
      </c>
      <c r="G65" s="2">
        <v>55457.94</v>
      </c>
      <c r="H65" t="s">
        <v>18</v>
      </c>
      <c r="I65" t="s">
        <v>160</v>
      </c>
    </row>
    <row r="66" spans="1:9">
      <c r="A66" t="s">
        <v>161</v>
      </c>
      <c r="B66" t="s">
        <v>74</v>
      </c>
      <c r="C66" t="s">
        <v>50</v>
      </c>
      <c r="D66" t="s">
        <v>59</v>
      </c>
      <c r="E66" s="2">
        <v>1023051.39</v>
      </c>
      <c r="F66" s="3">
        <v>4.9599999999999998E-2</v>
      </c>
      <c r="G66" s="2">
        <v>52259.17</v>
      </c>
      <c r="H66" t="s">
        <v>13</v>
      </c>
      <c r="I66" t="s">
        <v>162</v>
      </c>
    </row>
    <row r="67" spans="1:9">
      <c r="A67" t="s">
        <v>163</v>
      </c>
      <c r="B67" t="s">
        <v>10</v>
      </c>
      <c r="C67" t="s">
        <v>47</v>
      </c>
      <c r="D67" t="s">
        <v>34</v>
      </c>
      <c r="E67" s="2">
        <v>306929.46000000002</v>
      </c>
      <c r="F67" s="3">
        <v>7.51E-2</v>
      </c>
      <c r="G67" s="2">
        <v>19342.14</v>
      </c>
      <c r="H67" t="s">
        <v>13</v>
      </c>
      <c r="I67" t="s">
        <v>164</v>
      </c>
    </row>
    <row r="68" spans="1:9">
      <c r="A68" t="s">
        <v>165</v>
      </c>
      <c r="B68" t="s">
        <v>33</v>
      </c>
      <c r="C68" t="s">
        <v>39</v>
      </c>
      <c r="D68" t="s">
        <v>34</v>
      </c>
      <c r="E68" s="2">
        <v>1856642.75</v>
      </c>
      <c r="F68" s="3">
        <v>5.74E-2</v>
      </c>
      <c r="G68" s="2">
        <v>103502.73</v>
      </c>
      <c r="H68" t="s">
        <v>24</v>
      </c>
      <c r="I68" t="s">
        <v>166</v>
      </c>
    </row>
    <row r="69" spans="1:9">
      <c r="A69" t="s">
        <v>167</v>
      </c>
      <c r="B69" t="s">
        <v>10</v>
      </c>
      <c r="C69" t="s">
        <v>22</v>
      </c>
      <c r="D69" t="s">
        <v>59</v>
      </c>
      <c r="E69" s="2">
        <v>496595.5</v>
      </c>
      <c r="F69" s="3">
        <v>9.9900000000000003E-2</v>
      </c>
      <c r="G69" s="2">
        <v>45953.279999999999</v>
      </c>
      <c r="H69" t="s">
        <v>28</v>
      </c>
      <c r="I69" t="s">
        <v>168</v>
      </c>
    </row>
    <row r="70" spans="1:9">
      <c r="A70" t="s">
        <v>169</v>
      </c>
      <c r="B70" t="s">
        <v>33</v>
      </c>
      <c r="C70" t="s">
        <v>54</v>
      </c>
      <c r="D70" t="s">
        <v>23</v>
      </c>
      <c r="E70" s="2">
        <v>1431714.48</v>
      </c>
      <c r="F70" s="3">
        <v>0.13850000000000001</v>
      </c>
      <c r="G70" s="2">
        <v>159984.6</v>
      </c>
      <c r="H70" t="s">
        <v>24</v>
      </c>
      <c r="I70" t="s">
        <v>170</v>
      </c>
    </row>
    <row r="71" spans="1:9">
      <c r="A71" t="s">
        <v>171</v>
      </c>
      <c r="B71" t="s">
        <v>53</v>
      </c>
      <c r="C71" t="s">
        <v>42</v>
      </c>
      <c r="E71" s="2">
        <v>2109739.4700000002</v>
      </c>
      <c r="F71" s="3">
        <v>3.8100000000000002E-2</v>
      </c>
      <c r="G71" s="2">
        <v>84516.84</v>
      </c>
      <c r="H71" t="s">
        <v>18</v>
      </c>
      <c r="I71" t="s">
        <v>172</v>
      </c>
    </row>
    <row r="72" spans="1:9">
      <c r="A72" t="s">
        <v>173</v>
      </c>
      <c r="B72" t="s">
        <v>53</v>
      </c>
      <c r="C72" t="s">
        <v>47</v>
      </c>
      <c r="D72" t="s">
        <v>34</v>
      </c>
      <c r="E72" s="2">
        <v>268550.61</v>
      </c>
      <c r="F72" s="3">
        <v>3.3099999999999997E-2</v>
      </c>
      <c r="G72" s="2">
        <v>9057.65</v>
      </c>
      <c r="H72" t="s">
        <v>28</v>
      </c>
      <c r="I72" t="s">
        <v>174</v>
      </c>
    </row>
    <row r="73" spans="1:9">
      <c r="A73" t="s">
        <v>175</v>
      </c>
      <c r="B73" t="s">
        <v>53</v>
      </c>
      <c r="C73" t="s">
        <v>47</v>
      </c>
      <c r="D73" t="s">
        <v>12</v>
      </c>
      <c r="E73" s="2">
        <v>1361572.13</v>
      </c>
      <c r="F73" s="3">
        <v>5.33E-2</v>
      </c>
      <c r="G73" s="2">
        <v>69914.27</v>
      </c>
      <c r="H73" t="s">
        <v>13</v>
      </c>
      <c r="I73" t="s">
        <v>176</v>
      </c>
    </row>
    <row r="74" spans="1:9">
      <c r="A74" t="s">
        <v>177</v>
      </c>
      <c r="B74" t="s">
        <v>33</v>
      </c>
      <c r="C74" t="s">
        <v>42</v>
      </c>
      <c r="E74" s="2">
        <v>621380.21</v>
      </c>
      <c r="F74" s="3">
        <v>0.1144</v>
      </c>
      <c r="G74" s="2">
        <v>73945.87</v>
      </c>
      <c r="H74" t="s">
        <v>28</v>
      </c>
      <c r="I74" t="s">
        <v>178</v>
      </c>
    </row>
    <row r="75" spans="1:9">
      <c r="A75" t="s">
        <v>179</v>
      </c>
      <c r="B75" t="s">
        <v>10</v>
      </c>
      <c r="C75" t="s">
        <v>42</v>
      </c>
      <c r="D75" t="s">
        <v>23</v>
      </c>
      <c r="E75" s="2">
        <v>890170.82</v>
      </c>
      <c r="F75" s="3">
        <v>9.7100000000000006E-2</v>
      </c>
      <c r="G75" s="2">
        <v>90490.94</v>
      </c>
      <c r="H75" t="s">
        <v>13</v>
      </c>
      <c r="I75" t="s">
        <v>180</v>
      </c>
    </row>
    <row r="76" spans="1:9">
      <c r="A76" t="s">
        <v>181</v>
      </c>
      <c r="B76" t="s">
        <v>53</v>
      </c>
      <c r="C76" t="s">
        <v>11</v>
      </c>
      <c r="D76" t="s">
        <v>12</v>
      </c>
      <c r="E76" s="2">
        <v>1211226.3600000001</v>
      </c>
      <c r="F76" s="3">
        <v>3.3300000000000003E-2</v>
      </c>
      <c r="G76" s="2">
        <v>39662.089999999997</v>
      </c>
      <c r="H76" t="s">
        <v>28</v>
      </c>
      <c r="I76" t="s">
        <v>25</v>
      </c>
    </row>
    <row r="77" spans="1:9">
      <c r="A77" t="s">
        <v>182</v>
      </c>
      <c r="B77" t="s">
        <v>16</v>
      </c>
      <c r="C77" t="s">
        <v>27</v>
      </c>
      <c r="D77" t="s">
        <v>59</v>
      </c>
      <c r="E77" s="2">
        <v>920005.54</v>
      </c>
      <c r="F77" s="3">
        <v>0.1394</v>
      </c>
      <c r="G77" s="2">
        <v>132712.51</v>
      </c>
      <c r="H77" t="s">
        <v>28</v>
      </c>
      <c r="I77" t="s">
        <v>183</v>
      </c>
    </row>
    <row r="78" spans="1:9">
      <c r="A78" t="s">
        <v>184</v>
      </c>
      <c r="B78" t="s">
        <v>33</v>
      </c>
      <c r="C78" t="s">
        <v>54</v>
      </c>
      <c r="D78" t="s">
        <v>23</v>
      </c>
      <c r="E78" s="2">
        <v>1639615.96</v>
      </c>
      <c r="F78" s="3">
        <v>0.1227</v>
      </c>
      <c r="G78" s="2">
        <v>196953.78</v>
      </c>
      <c r="H78" t="s">
        <v>28</v>
      </c>
      <c r="I78" t="s">
        <v>185</v>
      </c>
    </row>
    <row r="79" spans="1:9">
      <c r="A79" t="s">
        <v>186</v>
      </c>
      <c r="B79" t="s">
        <v>33</v>
      </c>
      <c r="C79" t="s">
        <v>11</v>
      </c>
      <c r="D79" t="s">
        <v>34</v>
      </c>
      <c r="E79" s="2">
        <v>1224976.1499999999</v>
      </c>
      <c r="F79" s="3">
        <v>2.3E-2</v>
      </c>
      <c r="G79" s="2">
        <v>27387.15</v>
      </c>
      <c r="H79" t="s">
        <v>18</v>
      </c>
      <c r="I79" t="s">
        <v>187</v>
      </c>
    </row>
    <row r="80" spans="1:9">
      <c r="A80" t="s">
        <v>188</v>
      </c>
      <c r="B80" t="s">
        <v>10</v>
      </c>
      <c r="C80" t="s">
        <v>39</v>
      </c>
      <c r="D80" t="s">
        <v>34</v>
      </c>
      <c r="E80" s="2">
        <v>1481288.74</v>
      </c>
      <c r="F80" s="3">
        <v>0.1047</v>
      </c>
      <c r="G80" s="2">
        <v>146940.06</v>
      </c>
      <c r="H80" t="s">
        <v>18</v>
      </c>
      <c r="I80" t="s">
        <v>189</v>
      </c>
    </row>
    <row r="81" spans="1:9">
      <c r="A81" t="s">
        <v>190</v>
      </c>
      <c r="B81" t="s">
        <v>33</v>
      </c>
      <c r="C81" t="s">
        <v>50</v>
      </c>
      <c r="E81" s="2">
        <v>1855215.06</v>
      </c>
      <c r="F81" s="3">
        <v>0.1203</v>
      </c>
      <c r="G81" s="2">
        <v>223424.89</v>
      </c>
      <c r="H81" t="s">
        <v>24</v>
      </c>
      <c r="I81" t="s">
        <v>191</v>
      </c>
    </row>
    <row r="82" spans="1:9">
      <c r="A82" t="s">
        <v>192</v>
      </c>
      <c r="B82" t="s">
        <v>33</v>
      </c>
      <c r="C82" t="s">
        <v>39</v>
      </c>
      <c r="D82" t="s">
        <v>23</v>
      </c>
      <c r="E82" s="2">
        <v>1416468.55</v>
      </c>
      <c r="F82" s="3">
        <v>6.8699999999999997E-2</v>
      </c>
      <c r="G82" s="2">
        <v>74291.61</v>
      </c>
      <c r="H82" t="s">
        <v>24</v>
      </c>
      <c r="I82" t="s">
        <v>193</v>
      </c>
    </row>
    <row r="83" spans="1:9">
      <c r="A83" t="s">
        <v>194</v>
      </c>
      <c r="B83" t="s">
        <v>53</v>
      </c>
      <c r="C83" t="s">
        <v>17</v>
      </c>
      <c r="D83" t="s">
        <v>12</v>
      </c>
      <c r="E83" s="2">
        <v>1487011.81</v>
      </c>
      <c r="F83" s="3">
        <v>2.9000000000000001E-2</v>
      </c>
      <c r="G83" s="2">
        <v>45380.78</v>
      </c>
      <c r="H83" t="s">
        <v>13</v>
      </c>
      <c r="I83" t="s">
        <v>31</v>
      </c>
    </row>
    <row r="84" spans="1:9">
      <c r="A84" t="s">
        <v>195</v>
      </c>
      <c r="B84" t="s">
        <v>10</v>
      </c>
      <c r="C84" t="s">
        <v>47</v>
      </c>
      <c r="D84" t="s">
        <v>59</v>
      </c>
      <c r="E84" s="2">
        <v>1432923.43</v>
      </c>
      <c r="F84" s="3">
        <v>3.0099999999999998E-2</v>
      </c>
      <c r="G84" s="2">
        <v>45233.09</v>
      </c>
      <c r="H84" t="s">
        <v>18</v>
      </c>
      <c r="I84" t="s">
        <v>196</v>
      </c>
    </row>
    <row r="85" spans="1:9">
      <c r="A85" t="s">
        <v>197</v>
      </c>
      <c r="B85" t="s">
        <v>53</v>
      </c>
      <c r="C85" t="s">
        <v>50</v>
      </c>
      <c r="D85" t="s">
        <v>12</v>
      </c>
      <c r="E85" s="2">
        <v>977992.93</v>
      </c>
      <c r="F85" s="3">
        <v>3.3599999999999998E-2</v>
      </c>
      <c r="G85" s="2">
        <v>23386.83</v>
      </c>
      <c r="H85" t="s">
        <v>13</v>
      </c>
      <c r="I85" t="s">
        <v>198</v>
      </c>
    </row>
    <row r="86" spans="1:9">
      <c r="A86" t="s">
        <v>199</v>
      </c>
      <c r="B86" t="s">
        <v>53</v>
      </c>
      <c r="C86" t="s">
        <v>17</v>
      </c>
      <c r="D86" t="s">
        <v>12</v>
      </c>
      <c r="E86" s="2">
        <v>876744.74</v>
      </c>
      <c r="F86" s="3">
        <v>0.1293</v>
      </c>
      <c r="G86" s="2">
        <v>116801.02</v>
      </c>
      <c r="H86" t="s">
        <v>24</v>
      </c>
      <c r="I86" t="s">
        <v>200</v>
      </c>
    </row>
    <row r="87" spans="1:9">
      <c r="A87" t="s">
        <v>201</v>
      </c>
      <c r="B87" t="s">
        <v>10</v>
      </c>
      <c r="C87" t="s">
        <v>11</v>
      </c>
      <c r="E87" s="2">
        <v>2254136.12</v>
      </c>
      <c r="F87" s="3">
        <v>0.1384</v>
      </c>
      <c r="G87" s="2">
        <v>234462.25</v>
      </c>
      <c r="H87" t="s">
        <v>13</v>
      </c>
      <c r="I87" t="s">
        <v>202</v>
      </c>
    </row>
    <row r="88" spans="1:9">
      <c r="A88" t="s">
        <v>203</v>
      </c>
      <c r="B88" t="s">
        <v>74</v>
      </c>
      <c r="C88" t="s">
        <v>27</v>
      </c>
      <c r="D88" t="s">
        <v>23</v>
      </c>
      <c r="E88" s="2">
        <v>1538510.29</v>
      </c>
      <c r="F88" s="3">
        <v>3.5999999999999997E-2</v>
      </c>
      <c r="G88" s="2">
        <v>46194.87</v>
      </c>
      <c r="H88" t="s">
        <v>24</v>
      </c>
      <c r="I88" t="s">
        <v>204</v>
      </c>
    </row>
    <row r="89" spans="1:9">
      <c r="A89" t="s">
        <v>205</v>
      </c>
      <c r="B89" t="s">
        <v>53</v>
      </c>
      <c r="C89" t="s">
        <v>17</v>
      </c>
      <c r="D89" t="s">
        <v>59</v>
      </c>
      <c r="E89" s="2">
        <v>648665.23</v>
      </c>
      <c r="F89" s="3">
        <v>5.0700000000000002E-2</v>
      </c>
      <c r="G89" s="2">
        <v>32801.93</v>
      </c>
      <c r="H89" t="s">
        <v>18</v>
      </c>
      <c r="I89" t="s">
        <v>206</v>
      </c>
    </row>
    <row r="90" spans="1:9">
      <c r="A90" t="s">
        <v>207</v>
      </c>
      <c r="B90" t="s">
        <v>16</v>
      </c>
      <c r="C90" t="s">
        <v>50</v>
      </c>
      <c r="D90" t="s">
        <v>34</v>
      </c>
      <c r="E90" s="2">
        <v>1270706.8600000001</v>
      </c>
      <c r="F90" s="3">
        <v>4.1500000000000002E-2</v>
      </c>
      <c r="G90" s="2">
        <v>40305.06</v>
      </c>
      <c r="H90" t="s">
        <v>28</v>
      </c>
      <c r="I90" t="s">
        <v>131</v>
      </c>
    </row>
    <row r="91" spans="1:9">
      <c r="A91" t="s">
        <v>208</v>
      </c>
      <c r="B91" t="s">
        <v>16</v>
      </c>
      <c r="C91" t="s">
        <v>77</v>
      </c>
      <c r="D91" t="s">
        <v>12</v>
      </c>
      <c r="E91" s="2">
        <v>859353.78</v>
      </c>
      <c r="F91" s="3">
        <v>4.4200000000000003E-2</v>
      </c>
      <c r="G91" s="2">
        <v>39016.089999999997</v>
      </c>
      <c r="H91" t="s">
        <v>18</v>
      </c>
      <c r="I91" t="s">
        <v>209</v>
      </c>
    </row>
    <row r="92" spans="1:9">
      <c r="A92" t="s">
        <v>210</v>
      </c>
      <c r="B92" t="s">
        <v>33</v>
      </c>
      <c r="C92" t="s">
        <v>86</v>
      </c>
      <c r="D92" t="s">
        <v>59</v>
      </c>
      <c r="E92" s="2">
        <v>2337544.9700000002</v>
      </c>
      <c r="F92" s="3">
        <v>0.12889999999999999</v>
      </c>
      <c r="G92" s="2">
        <v>311208.67</v>
      </c>
      <c r="H92" t="s">
        <v>13</v>
      </c>
      <c r="I92" t="s">
        <v>211</v>
      </c>
    </row>
    <row r="93" spans="1:9">
      <c r="A93" t="s">
        <v>212</v>
      </c>
      <c r="B93" t="s">
        <v>16</v>
      </c>
      <c r="C93" t="s">
        <v>86</v>
      </c>
      <c r="D93" t="s">
        <v>12</v>
      </c>
      <c r="E93" s="2">
        <v>68459.19</v>
      </c>
      <c r="F93" s="3">
        <v>6.3200000000000006E-2</v>
      </c>
      <c r="G93" s="2">
        <v>3906.88</v>
      </c>
      <c r="H93" t="s">
        <v>13</v>
      </c>
      <c r="I93" t="s">
        <v>213</v>
      </c>
    </row>
    <row r="94" spans="1:9">
      <c r="A94" t="s">
        <v>214</v>
      </c>
      <c r="B94" t="s">
        <v>33</v>
      </c>
      <c r="C94" t="s">
        <v>47</v>
      </c>
      <c r="E94" s="2">
        <v>602065.35</v>
      </c>
      <c r="F94" s="3">
        <v>6.0499999999999998E-2</v>
      </c>
      <c r="G94" s="2">
        <v>25590.51</v>
      </c>
      <c r="H94" t="s">
        <v>18</v>
      </c>
      <c r="I94" t="s">
        <v>215</v>
      </c>
    </row>
    <row r="95" spans="1:9">
      <c r="A95" t="s">
        <v>216</v>
      </c>
      <c r="B95" t="s">
        <v>74</v>
      </c>
      <c r="C95" t="s">
        <v>22</v>
      </c>
      <c r="D95" t="s">
        <v>12</v>
      </c>
      <c r="E95" s="2">
        <v>945124.21</v>
      </c>
      <c r="F95" s="3">
        <v>4.9599999999999998E-2</v>
      </c>
      <c r="G95" s="2">
        <v>38197.040000000001</v>
      </c>
      <c r="H95" t="s">
        <v>18</v>
      </c>
      <c r="I95" t="s">
        <v>217</v>
      </c>
    </row>
    <row r="96" spans="1:9">
      <c r="A96" t="s">
        <v>218</v>
      </c>
      <c r="B96" t="s">
        <v>10</v>
      </c>
      <c r="C96" t="s">
        <v>77</v>
      </c>
      <c r="D96" t="s">
        <v>12</v>
      </c>
      <c r="E96" s="2">
        <v>1245134.01</v>
      </c>
      <c r="F96" s="3">
        <v>9.9000000000000005E-2</v>
      </c>
      <c r="G96" s="2">
        <v>116706.79</v>
      </c>
      <c r="H96" t="s">
        <v>24</v>
      </c>
      <c r="I96" t="s">
        <v>219</v>
      </c>
    </row>
    <row r="97" spans="1:9">
      <c r="A97" t="s">
        <v>220</v>
      </c>
      <c r="B97" t="s">
        <v>10</v>
      </c>
      <c r="C97" t="s">
        <v>54</v>
      </c>
      <c r="D97" t="s">
        <v>12</v>
      </c>
      <c r="E97" s="2">
        <v>2134502.92</v>
      </c>
      <c r="F97" s="3">
        <v>6.93E-2</v>
      </c>
      <c r="G97" s="2">
        <v>161599.97</v>
      </c>
      <c r="H97" t="s">
        <v>13</v>
      </c>
      <c r="I97" t="s">
        <v>221</v>
      </c>
    </row>
    <row r="98" spans="1:9">
      <c r="A98" t="s">
        <v>222</v>
      </c>
      <c r="B98" t="s">
        <v>10</v>
      </c>
      <c r="C98" t="s">
        <v>47</v>
      </c>
      <c r="D98" t="s">
        <v>34</v>
      </c>
      <c r="E98" s="2">
        <v>265324.68</v>
      </c>
      <c r="F98" s="3">
        <v>0.1168</v>
      </c>
      <c r="G98" s="2">
        <v>29524.89</v>
      </c>
      <c r="H98" t="s">
        <v>13</v>
      </c>
      <c r="I98" t="s">
        <v>223</v>
      </c>
    </row>
    <row r="99" spans="1:9">
      <c r="A99" t="s">
        <v>224</v>
      </c>
      <c r="B99" t="s">
        <v>16</v>
      </c>
      <c r="C99" t="s">
        <v>11</v>
      </c>
      <c r="D99" t="s">
        <v>12</v>
      </c>
      <c r="E99" s="2">
        <v>2024368.97</v>
      </c>
      <c r="F99" s="3">
        <v>4.6699999999999998E-2</v>
      </c>
      <c r="G99" s="2">
        <v>76001.149999999994</v>
      </c>
      <c r="H99" t="s">
        <v>18</v>
      </c>
      <c r="I99" t="s">
        <v>225</v>
      </c>
    </row>
    <row r="100" spans="1:9">
      <c r="A100" t="s">
        <v>226</v>
      </c>
      <c r="B100" t="s">
        <v>74</v>
      </c>
      <c r="C100" t="s">
        <v>77</v>
      </c>
      <c r="E100" s="2">
        <v>186351.05</v>
      </c>
      <c r="F100" s="3">
        <v>0.12239999999999999</v>
      </c>
      <c r="G100" s="2">
        <v>21751.07</v>
      </c>
      <c r="H100" t="s">
        <v>28</v>
      </c>
      <c r="I100" t="s">
        <v>227</v>
      </c>
    </row>
    <row r="101" spans="1:9">
      <c r="A101" t="s">
        <v>228</v>
      </c>
      <c r="B101" t="s">
        <v>16</v>
      </c>
      <c r="C101" t="s">
        <v>54</v>
      </c>
      <c r="D101" t="s">
        <v>12</v>
      </c>
      <c r="E101" s="2">
        <v>2113669.39</v>
      </c>
      <c r="F101" s="3">
        <v>9.8500000000000004E-2</v>
      </c>
      <c r="G101" s="2">
        <v>190706.72</v>
      </c>
      <c r="H101" t="s">
        <v>13</v>
      </c>
      <c r="I101" t="s">
        <v>229</v>
      </c>
    </row>
    <row r="102" spans="1:9">
      <c r="A102" t="s">
        <v>230</v>
      </c>
      <c r="B102" t="s">
        <v>16</v>
      </c>
      <c r="C102" t="s">
        <v>27</v>
      </c>
      <c r="D102" t="s">
        <v>59</v>
      </c>
      <c r="E102" s="2">
        <v>176506.92</v>
      </c>
      <c r="F102" s="3">
        <v>3.49E-2</v>
      </c>
      <c r="G102" s="2">
        <v>6233.63</v>
      </c>
      <c r="H102" t="s">
        <v>28</v>
      </c>
      <c r="I102" t="s">
        <v>231</v>
      </c>
    </row>
    <row r="103" spans="1:9">
      <c r="A103" t="s">
        <v>232</v>
      </c>
      <c r="B103" t="s">
        <v>74</v>
      </c>
      <c r="C103" t="s">
        <v>54</v>
      </c>
      <c r="D103" t="s">
        <v>23</v>
      </c>
      <c r="E103" s="2">
        <v>94694.080000000002</v>
      </c>
      <c r="F103" s="3">
        <v>7.3899999999999993E-2</v>
      </c>
      <c r="G103" s="2">
        <v>5197.9799999999996</v>
      </c>
      <c r="H103" t="s">
        <v>18</v>
      </c>
      <c r="I103" t="s">
        <v>75</v>
      </c>
    </row>
    <row r="104" spans="1:9">
      <c r="A104" t="s">
        <v>233</v>
      </c>
      <c r="B104" t="s">
        <v>74</v>
      </c>
      <c r="C104" t="s">
        <v>27</v>
      </c>
      <c r="D104" t="s">
        <v>23</v>
      </c>
      <c r="E104" s="2">
        <v>1757555.58</v>
      </c>
      <c r="F104" s="3">
        <v>0.1323</v>
      </c>
      <c r="G104" s="2">
        <v>233550.31</v>
      </c>
      <c r="H104" t="s">
        <v>18</v>
      </c>
      <c r="I104" t="s">
        <v>129</v>
      </c>
    </row>
    <row r="105" spans="1:9">
      <c r="A105" t="s">
        <v>234</v>
      </c>
      <c r="B105" t="s">
        <v>74</v>
      </c>
      <c r="C105" t="s">
        <v>86</v>
      </c>
      <c r="D105" t="s">
        <v>23</v>
      </c>
      <c r="E105" s="2">
        <v>2493276.06</v>
      </c>
      <c r="F105" s="3">
        <v>0.14000000000000001</v>
      </c>
      <c r="G105" s="2">
        <v>319914.57</v>
      </c>
      <c r="H105" t="s">
        <v>24</v>
      </c>
      <c r="I105" t="s">
        <v>235</v>
      </c>
    </row>
    <row r="106" spans="1:9">
      <c r="A106" t="s">
        <v>236</v>
      </c>
      <c r="B106" t="s">
        <v>74</v>
      </c>
      <c r="C106" t="s">
        <v>27</v>
      </c>
      <c r="D106" t="s">
        <v>59</v>
      </c>
      <c r="E106" s="2">
        <v>2246695.14</v>
      </c>
      <c r="F106" s="3">
        <v>8.0500000000000002E-2</v>
      </c>
      <c r="G106" s="2">
        <v>196267.56</v>
      </c>
      <c r="H106" t="s">
        <v>13</v>
      </c>
      <c r="I106" t="s">
        <v>237</v>
      </c>
    </row>
    <row r="107" spans="1:9">
      <c r="A107" t="s">
        <v>238</v>
      </c>
      <c r="B107" t="s">
        <v>10</v>
      </c>
      <c r="C107" t="s">
        <v>27</v>
      </c>
      <c r="D107" t="s">
        <v>34</v>
      </c>
      <c r="E107" s="2">
        <v>1461196.12</v>
      </c>
      <c r="F107" s="3">
        <v>8.2500000000000004E-2</v>
      </c>
      <c r="G107" s="2">
        <v>100868.97</v>
      </c>
      <c r="H107" t="s">
        <v>28</v>
      </c>
      <c r="I107" t="s">
        <v>239</v>
      </c>
    </row>
    <row r="108" spans="1:9">
      <c r="A108" t="s">
        <v>240</v>
      </c>
      <c r="B108" t="s">
        <v>21</v>
      </c>
      <c r="C108" t="s">
        <v>86</v>
      </c>
      <c r="D108" t="s">
        <v>23</v>
      </c>
      <c r="E108" s="2">
        <v>2297619.25</v>
      </c>
      <c r="F108" s="3">
        <v>0.1394</v>
      </c>
      <c r="G108" s="2">
        <v>305250.2</v>
      </c>
      <c r="H108" t="s">
        <v>24</v>
      </c>
      <c r="I108" t="s">
        <v>127</v>
      </c>
    </row>
    <row r="109" spans="1:9">
      <c r="A109" t="s">
        <v>241</v>
      </c>
      <c r="B109" t="s">
        <v>21</v>
      </c>
      <c r="C109" t="s">
        <v>77</v>
      </c>
      <c r="D109" t="s">
        <v>34</v>
      </c>
      <c r="E109" s="2">
        <v>62985.02</v>
      </c>
      <c r="F109" s="3">
        <v>9.6299999999999997E-2</v>
      </c>
      <c r="G109" s="2">
        <v>6507.09</v>
      </c>
      <c r="H109" t="s">
        <v>13</v>
      </c>
      <c r="I109" t="s">
        <v>242</v>
      </c>
    </row>
    <row r="110" spans="1:9">
      <c r="A110" t="s">
        <v>243</v>
      </c>
      <c r="B110" t="s">
        <v>74</v>
      </c>
      <c r="C110" t="s">
        <v>17</v>
      </c>
      <c r="E110" s="2">
        <v>2438914.5499999998</v>
      </c>
      <c r="F110" s="3">
        <v>2.4299999999999999E-2</v>
      </c>
      <c r="G110" s="2">
        <v>43916.06</v>
      </c>
      <c r="H110" t="s">
        <v>24</v>
      </c>
      <c r="I110" t="s">
        <v>156</v>
      </c>
    </row>
    <row r="111" spans="1:9">
      <c r="A111" t="s">
        <v>244</v>
      </c>
      <c r="B111" t="s">
        <v>21</v>
      </c>
      <c r="C111" t="s">
        <v>120</v>
      </c>
      <c r="D111" t="s">
        <v>59</v>
      </c>
      <c r="E111" s="2">
        <v>1252334.51</v>
      </c>
      <c r="F111" s="3">
        <v>0.13869999999999999</v>
      </c>
      <c r="G111" s="2">
        <v>186707.34</v>
      </c>
      <c r="H111" t="s">
        <v>18</v>
      </c>
      <c r="I111" t="s">
        <v>245</v>
      </c>
    </row>
    <row r="112" spans="1:9">
      <c r="A112" t="s">
        <v>246</v>
      </c>
      <c r="B112" t="s">
        <v>21</v>
      </c>
      <c r="C112" t="s">
        <v>39</v>
      </c>
      <c r="E112" s="2">
        <v>1821095.44</v>
      </c>
      <c r="F112" s="3">
        <v>5.2299999999999999E-2</v>
      </c>
      <c r="G112" s="2">
        <v>92876.9</v>
      </c>
      <c r="H112" t="s">
        <v>13</v>
      </c>
      <c r="I112" t="s">
        <v>247</v>
      </c>
    </row>
    <row r="113" spans="1:9">
      <c r="A113" t="s">
        <v>248</v>
      </c>
      <c r="B113" t="s">
        <v>74</v>
      </c>
      <c r="C113" t="s">
        <v>47</v>
      </c>
      <c r="E113" s="2">
        <v>2061110.61</v>
      </c>
      <c r="F113" s="3">
        <v>9.5100000000000004E-2</v>
      </c>
      <c r="G113" s="2">
        <v>142526.87</v>
      </c>
      <c r="H113" t="s">
        <v>24</v>
      </c>
      <c r="I113" t="s">
        <v>249</v>
      </c>
    </row>
    <row r="114" spans="1:9">
      <c r="A114" t="s">
        <v>250</v>
      </c>
      <c r="B114" t="s">
        <v>21</v>
      </c>
      <c r="C114" t="s">
        <v>17</v>
      </c>
      <c r="D114" t="s">
        <v>23</v>
      </c>
      <c r="E114" s="2">
        <v>1810220.31</v>
      </c>
      <c r="F114" s="3">
        <v>4.1500000000000002E-2</v>
      </c>
      <c r="G114" s="2">
        <v>61630.75</v>
      </c>
      <c r="H114" t="s">
        <v>24</v>
      </c>
      <c r="I114" t="s">
        <v>251</v>
      </c>
    </row>
    <row r="115" spans="1:9">
      <c r="A115" t="s">
        <v>252</v>
      </c>
      <c r="B115" t="s">
        <v>16</v>
      </c>
      <c r="C115" t="s">
        <v>17</v>
      </c>
      <c r="D115" t="s">
        <v>59</v>
      </c>
      <c r="E115" s="2">
        <v>1360839.99</v>
      </c>
      <c r="F115" s="3">
        <v>2.4400000000000002E-2</v>
      </c>
      <c r="G115" s="2">
        <v>32648.95</v>
      </c>
      <c r="H115" t="s">
        <v>28</v>
      </c>
      <c r="I115" t="s">
        <v>193</v>
      </c>
    </row>
    <row r="116" spans="1:9">
      <c r="A116" t="s">
        <v>253</v>
      </c>
      <c r="B116" t="s">
        <v>33</v>
      </c>
      <c r="C116" t="s">
        <v>39</v>
      </c>
      <c r="D116" t="s">
        <v>23</v>
      </c>
      <c r="E116" s="2">
        <v>1217717.74</v>
      </c>
      <c r="F116" s="3">
        <v>6.0499999999999998E-2</v>
      </c>
      <c r="G116" s="2">
        <v>53555.09</v>
      </c>
      <c r="H116" t="s">
        <v>24</v>
      </c>
      <c r="I116" t="s">
        <v>254</v>
      </c>
    </row>
    <row r="117" spans="1:9">
      <c r="A117" t="s">
        <v>255</v>
      </c>
      <c r="B117" t="s">
        <v>33</v>
      </c>
      <c r="C117" t="s">
        <v>27</v>
      </c>
      <c r="D117" t="s">
        <v>23</v>
      </c>
      <c r="E117" s="2">
        <v>2104527.27</v>
      </c>
      <c r="F117" s="3">
        <v>0.1215</v>
      </c>
      <c r="G117" s="2">
        <v>238534.45</v>
      </c>
      <c r="H117" t="s">
        <v>13</v>
      </c>
      <c r="I117" t="s">
        <v>256</v>
      </c>
    </row>
    <row r="118" spans="1:9">
      <c r="A118" t="s">
        <v>257</v>
      </c>
      <c r="B118" t="s">
        <v>74</v>
      </c>
      <c r="C118" t="s">
        <v>27</v>
      </c>
      <c r="D118" t="s">
        <v>59</v>
      </c>
      <c r="E118" s="2">
        <v>552440.02</v>
      </c>
      <c r="F118" s="3">
        <v>5.6099999999999997E-2</v>
      </c>
      <c r="G118" s="2">
        <v>25982.15</v>
      </c>
      <c r="H118" t="s">
        <v>13</v>
      </c>
      <c r="I118" t="s">
        <v>135</v>
      </c>
    </row>
    <row r="119" spans="1:9">
      <c r="A119" t="s">
        <v>258</v>
      </c>
      <c r="B119" t="s">
        <v>10</v>
      </c>
      <c r="C119" t="s">
        <v>22</v>
      </c>
      <c r="D119" t="s">
        <v>23</v>
      </c>
      <c r="E119" s="2">
        <v>2421585.46</v>
      </c>
      <c r="F119" s="3">
        <v>4.8599999999999997E-2</v>
      </c>
      <c r="G119" s="2">
        <v>111612.32</v>
      </c>
      <c r="H119" t="s">
        <v>28</v>
      </c>
      <c r="I119" t="s">
        <v>109</v>
      </c>
    </row>
    <row r="120" spans="1:9">
      <c r="A120" t="s">
        <v>259</v>
      </c>
      <c r="B120" t="s">
        <v>74</v>
      </c>
      <c r="C120" t="s">
        <v>27</v>
      </c>
      <c r="D120" t="s">
        <v>59</v>
      </c>
      <c r="E120" s="2">
        <v>1791833.57</v>
      </c>
      <c r="F120" s="3">
        <v>4.7600000000000003E-2</v>
      </c>
      <c r="G120" s="2">
        <v>61264.45</v>
      </c>
      <c r="H120" t="s">
        <v>13</v>
      </c>
      <c r="I120" t="s">
        <v>260</v>
      </c>
    </row>
    <row r="121" spans="1:9">
      <c r="A121" t="s">
        <v>261</v>
      </c>
      <c r="B121" t="s">
        <v>10</v>
      </c>
      <c r="C121" t="s">
        <v>77</v>
      </c>
      <c r="D121" t="s">
        <v>23</v>
      </c>
      <c r="E121" s="2">
        <v>538791.97</v>
      </c>
      <c r="F121" s="3">
        <v>8.6999999999999994E-2</v>
      </c>
      <c r="G121" s="2">
        <v>49153.71</v>
      </c>
      <c r="H121" t="s">
        <v>18</v>
      </c>
      <c r="I121" t="s">
        <v>262</v>
      </c>
    </row>
    <row r="122" spans="1:9">
      <c r="A122" t="s">
        <v>263</v>
      </c>
      <c r="B122" t="s">
        <v>33</v>
      </c>
      <c r="C122" t="s">
        <v>86</v>
      </c>
      <c r="E122" s="2">
        <v>1853805.6</v>
      </c>
      <c r="F122" s="3">
        <v>0.14680000000000001</v>
      </c>
      <c r="G122" s="2">
        <v>296466.65999999997</v>
      </c>
      <c r="H122" t="s">
        <v>13</v>
      </c>
      <c r="I122" t="s">
        <v>264</v>
      </c>
    </row>
    <row r="123" spans="1:9">
      <c r="A123" t="s">
        <v>265</v>
      </c>
      <c r="B123" t="s">
        <v>74</v>
      </c>
      <c r="C123" t="s">
        <v>22</v>
      </c>
      <c r="D123" t="s">
        <v>23</v>
      </c>
      <c r="E123" s="2">
        <v>1348108.06</v>
      </c>
      <c r="F123" s="3">
        <v>7.9699999999999993E-2</v>
      </c>
      <c r="G123" s="2">
        <v>116851.08</v>
      </c>
      <c r="H123" t="s">
        <v>13</v>
      </c>
      <c r="I123" t="s">
        <v>266</v>
      </c>
    </row>
    <row r="124" spans="1:9">
      <c r="A124" t="s">
        <v>267</v>
      </c>
      <c r="B124" t="s">
        <v>53</v>
      </c>
      <c r="C124" t="s">
        <v>77</v>
      </c>
      <c r="D124" t="s">
        <v>23</v>
      </c>
      <c r="E124" s="2">
        <v>1782713.73</v>
      </c>
      <c r="F124" s="3">
        <v>9.2399999999999996E-2</v>
      </c>
      <c r="G124" s="2">
        <v>164699.81</v>
      </c>
      <c r="H124" t="s">
        <v>24</v>
      </c>
      <c r="I124" t="s">
        <v>268</v>
      </c>
    </row>
    <row r="125" spans="1:9">
      <c r="A125" t="s">
        <v>269</v>
      </c>
      <c r="B125" t="s">
        <v>16</v>
      </c>
      <c r="C125" t="s">
        <v>11</v>
      </c>
      <c r="D125" t="s">
        <v>23</v>
      </c>
      <c r="E125" s="2">
        <v>1931059.78</v>
      </c>
      <c r="F125" s="3">
        <v>0.13189999999999999</v>
      </c>
      <c r="G125" s="2">
        <v>191548.29</v>
      </c>
      <c r="H125" t="s">
        <v>24</v>
      </c>
      <c r="I125" t="s">
        <v>270</v>
      </c>
    </row>
    <row r="126" spans="1:9">
      <c r="A126" t="s">
        <v>271</v>
      </c>
      <c r="B126" t="s">
        <v>21</v>
      </c>
      <c r="C126" t="s">
        <v>50</v>
      </c>
      <c r="D126" t="s">
        <v>23</v>
      </c>
      <c r="E126" s="2">
        <v>263860.94</v>
      </c>
      <c r="F126" s="3">
        <v>8.9599999999999999E-2</v>
      </c>
      <c r="G126" s="2">
        <v>23720.080000000002</v>
      </c>
      <c r="H126" t="s">
        <v>13</v>
      </c>
      <c r="I126" t="s">
        <v>272</v>
      </c>
    </row>
    <row r="127" spans="1:9">
      <c r="A127" t="s">
        <v>273</v>
      </c>
      <c r="B127" t="s">
        <v>10</v>
      </c>
      <c r="C127" t="s">
        <v>54</v>
      </c>
      <c r="D127" t="s">
        <v>34</v>
      </c>
      <c r="E127" s="2">
        <v>1289954.69</v>
      </c>
      <c r="F127" s="3">
        <v>4.3999999999999997E-2</v>
      </c>
      <c r="G127" s="2">
        <v>40288.81</v>
      </c>
      <c r="H127" t="s">
        <v>28</v>
      </c>
      <c r="I127" t="s">
        <v>274</v>
      </c>
    </row>
    <row r="128" spans="1:9">
      <c r="A128" t="s">
        <v>275</v>
      </c>
      <c r="B128" t="s">
        <v>53</v>
      </c>
      <c r="C128" t="s">
        <v>50</v>
      </c>
      <c r="D128" t="s">
        <v>23</v>
      </c>
      <c r="E128" s="2">
        <v>2333435.14</v>
      </c>
      <c r="F128" s="3">
        <v>5.8900000000000001E-2</v>
      </c>
      <c r="G128" s="2">
        <v>97423.79</v>
      </c>
      <c r="H128" t="s">
        <v>24</v>
      </c>
      <c r="I128" t="s">
        <v>127</v>
      </c>
    </row>
    <row r="129" spans="1:9">
      <c r="A129" t="s">
        <v>276</v>
      </c>
      <c r="B129" t="s">
        <v>21</v>
      </c>
      <c r="C129" t="s">
        <v>47</v>
      </c>
      <c r="D129" t="s">
        <v>34</v>
      </c>
      <c r="E129" s="2">
        <v>835573.37</v>
      </c>
      <c r="F129" s="3">
        <v>6.0299999999999999E-2</v>
      </c>
      <c r="G129" s="2">
        <v>41791.599999999999</v>
      </c>
      <c r="H129" t="s">
        <v>28</v>
      </c>
      <c r="I129" t="s">
        <v>55</v>
      </c>
    </row>
    <row r="130" spans="1:9">
      <c r="A130" t="s">
        <v>277</v>
      </c>
      <c r="B130" t="s">
        <v>21</v>
      </c>
      <c r="C130" t="s">
        <v>50</v>
      </c>
      <c r="D130" t="s">
        <v>23</v>
      </c>
      <c r="E130" s="2">
        <v>1505013.59</v>
      </c>
      <c r="F130" s="3">
        <v>7.17E-2</v>
      </c>
      <c r="G130" s="2">
        <v>96628.32</v>
      </c>
      <c r="H130" t="s">
        <v>13</v>
      </c>
      <c r="I130" t="s">
        <v>209</v>
      </c>
    </row>
    <row r="131" spans="1:9">
      <c r="A131" t="s">
        <v>278</v>
      </c>
      <c r="B131" t="s">
        <v>74</v>
      </c>
      <c r="C131" t="s">
        <v>17</v>
      </c>
      <c r="D131" t="s">
        <v>34</v>
      </c>
      <c r="E131" s="2">
        <v>954614.68</v>
      </c>
      <c r="F131" s="3">
        <v>7.5499999999999998E-2</v>
      </c>
      <c r="G131" s="2">
        <v>72661.740000000005</v>
      </c>
      <c r="H131" t="s">
        <v>13</v>
      </c>
      <c r="I131" t="s">
        <v>160</v>
      </c>
    </row>
    <row r="132" spans="1:9">
      <c r="A132" t="s">
        <v>279</v>
      </c>
      <c r="B132" t="s">
        <v>21</v>
      </c>
      <c r="C132" t="s">
        <v>17</v>
      </c>
      <c r="D132" t="s">
        <v>12</v>
      </c>
      <c r="E132" s="2">
        <v>1162956.53</v>
      </c>
      <c r="F132" s="3">
        <v>0.124</v>
      </c>
      <c r="G132" s="2">
        <v>140358.91</v>
      </c>
      <c r="H132" t="s">
        <v>18</v>
      </c>
      <c r="I132" t="s">
        <v>280</v>
      </c>
    </row>
    <row r="133" spans="1:9">
      <c r="A133" t="s">
        <v>281</v>
      </c>
      <c r="B133" t="s">
        <v>16</v>
      </c>
      <c r="C133" t="s">
        <v>17</v>
      </c>
      <c r="D133" t="s">
        <v>12</v>
      </c>
      <c r="E133" s="2">
        <v>1394077.64</v>
      </c>
      <c r="F133" s="3">
        <v>6.54E-2</v>
      </c>
      <c r="G133" s="2">
        <v>80082.53</v>
      </c>
      <c r="H133" t="s">
        <v>24</v>
      </c>
      <c r="I133" t="s">
        <v>282</v>
      </c>
    </row>
    <row r="134" spans="1:9">
      <c r="A134" t="s">
        <v>283</v>
      </c>
      <c r="B134" t="s">
        <v>53</v>
      </c>
      <c r="C134" t="s">
        <v>42</v>
      </c>
      <c r="D134" t="s">
        <v>59</v>
      </c>
      <c r="E134" s="2">
        <v>1394858.85</v>
      </c>
      <c r="F134" s="3">
        <v>8.09E-2</v>
      </c>
      <c r="G134" s="2">
        <v>91341.72</v>
      </c>
      <c r="H134" t="s">
        <v>13</v>
      </c>
      <c r="I134" t="s">
        <v>284</v>
      </c>
    </row>
    <row r="135" spans="1:9">
      <c r="A135" t="s">
        <v>285</v>
      </c>
      <c r="B135" t="s">
        <v>21</v>
      </c>
      <c r="C135" t="s">
        <v>22</v>
      </c>
      <c r="D135" t="s">
        <v>34</v>
      </c>
      <c r="E135" s="2">
        <v>544239.63</v>
      </c>
      <c r="F135" s="3">
        <v>0.1012</v>
      </c>
      <c r="G135" s="2">
        <v>60521.41</v>
      </c>
      <c r="H135" t="s">
        <v>18</v>
      </c>
      <c r="I135" t="s">
        <v>286</v>
      </c>
    </row>
    <row r="136" spans="1:9">
      <c r="A136" t="s">
        <v>287</v>
      </c>
      <c r="B136" t="s">
        <v>74</v>
      </c>
      <c r="C136" t="s">
        <v>54</v>
      </c>
      <c r="D136" t="s">
        <v>59</v>
      </c>
      <c r="E136" s="2">
        <v>1727200.29</v>
      </c>
      <c r="F136" s="3">
        <v>6.9099999999999995E-2</v>
      </c>
      <c r="G136" s="2">
        <v>103890.49</v>
      </c>
      <c r="H136" t="s">
        <v>24</v>
      </c>
      <c r="I136" t="s">
        <v>288</v>
      </c>
    </row>
    <row r="137" spans="1:9">
      <c r="A137" t="s">
        <v>289</v>
      </c>
      <c r="B137" t="s">
        <v>16</v>
      </c>
      <c r="C137" t="s">
        <v>39</v>
      </c>
      <c r="D137" t="s">
        <v>12</v>
      </c>
      <c r="E137" s="2">
        <v>265276.87</v>
      </c>
      <c r="F137" s="3">
        <v>0.1288</v>
      </c>
      <c r="G137" s="2">
        <v>30086.5</v>
      </c>
      <c r="H137" t="s">
        <v>13</v>
      </c>
      <c r="I137" t="s">
        <v>290</v>
      </c>
    </row>
    <row r="138" spans="1:9">
      <c r="A138" t="s">
        <v>291</v>
      </c>
      <c r="B138" t="s">
        <v>33</v>
      </c>
      <c r="C138" t="s">
        <v>50</v>
      </c>
      <c r="D138" t="s">
        <v>12</v>
      </c>
      <c r="E138" s="2">
        <v>390120.69</v>
      </c>
      <c r="F138" s="3">
        <v>9.64E-2</v>
      </c>
      <c r="G138" s="2">
        <v>28786.75</v>
      </c>
      <c r="H138" t="s">
        <v>13</v>
      </c>
      <c r="I138" t="s">
        <v>292</v>
      </c>
    </row>
    <row r="139" spans="1:9">
      <c r="A139" t="s">
        <v>293</v>
      </c>
      <c r="B139" t="s">
        <v>53</v>
      </c>
      <c r="C139" t="s">
        <v>47</v>
      </c>
      <c r="D139" t="s">
        <v>34</v>
      </c>
      <c r="E139" s="2">
        <v>56641.7</v>
      </c>
      <c r="F139" s="3">
        <v>5.8200000000000002E-2</v>
      </c>
      <c r="G139" s="2">
        <v>3355.63</v>
      </c>
      <c r="H139" t="s">
        <v>24</v>
      </c>
      <c r="I139" t="s">
        <v>294</v>
      </c>
    </row>
    <row r="140" spans="1:9">
      <c r="A140" t="s">
        <v>295</v>
      </c>
      <c r="B140" t="s">
        <v>21</v>
      </c>
      <c r="C140" t="s">
        <v>27</v>
      </c>
      <c r="D140" t="s">
        <v>23</v>
      </c>
      <c r="E140" s="2">
        <v>335905.36</v>
      </c>
      <c r="F140" s="3">
        <v>0.1128</v>
      </c>
      <c r="G140" s="2">
        <v>37036.57</v>
      </c>
      <c r="H140" t="s">
        <v>24</v>
      </c>
      <c r="I140" t="s">
        <v>296</v>
      </c>
    </row>
    <row r="141" spans="1:9">
      <c r="A141" t="s">
        <v>297</v>
      </c>
      <c r="B141" t="s">
        <v>74</v>
      </c>
      <c r="C141" t="s">
        <v>77</v>
      </c>
      <c r="D141" t="s">
        <v>59</v>
      </c>
      <c r="E141" s="2">
        <v>1209257.19</v>
      </c>
      <c r="F141" s="3">
        <v>8.8599999999999998E-2</v>
      </c>
      <c r="G141" s="2">
        <v>84459.45</v>
      </c>
      <c r="H141" t="s">
        <v>24</v>
      </c>
      <c r="I141" t="s">
        <v>298</v>
      </c>
    </row>
    <row r="142" spans="1:9">
      <c r="A142" t="s">
        <v>299</v>
      </c>
      <c r="B142" t="s">
        <v>33</v>
      </c>
      <c r="C142" t="s">
        <v>39</v>
      </c>
      <c r="D142" t="s">
        <v>23</v>
      </c>
      <c r="E142" s="2">
        <v>1534949.61</v>
      </c>
      <c r="F142" s="3">
        <v>8.9499999999999996E-2</v>
      </c>
      <c r="G142" s="2">
        <v>100691.53</v>
      </c>
      <c r="H142" t="s">
        <v>13</v>
      </c>
      <c r="I142" t="s">
        <v>300</v>
      </c>
    </row>
    <row r="143" spans="1:9">
      <c r="A143" t="s">
        <v>301</v>
      </c>
      <c r="B143" t="s">
        <v>33</v>
      </c>
      <c r="C143" t="s">
        <v>47</v>
      </c>
      <c r="D143" t="s">
        <v>34</v>
      </c>
      <c r="E143" s="2">
        <v>1996009.15</v>
      </c>
      <c r="F143" s="3">
        <v>8.2500000000000004E-2</v>
      </c>
      <c r="G143" s="2">
        <v>160092.85999999999</v>
      </c>
      <c r="H143" t="s">
        <v>13</v>
      </c>
      <c r="I143" t="s">
        <v>302</v>
      </c>
    </row>
    <row r="144" spans="1:9">
      <c r="A144" t="s">
        <v>303</v>
      </c>
      <c r="B144" t="s">
        <v>10</v>
      </c>
      <c r="C144" t="s">
        <v>120</v>
      </c>
      <c r="D144" t="s">
        <v>59</v>
      </c>
      <c r="E144" s="2">
        <v>311413.15999999997</v>
      </c>
      <c r="F144" s="3">
        <v>8.4599999999999995E-2</v>
      </c>
      <c r="G144" s="2">
        <v>25339.27</v>
      </c>
      <c r="H144" t="s">
        <v>18</v>
      </c>
      <c r="I144" t="s">
        <v>304</v>
      </c>
    </row>
    <row r="145" spans="1:9">
      <c r="A145" t="s">
        <v>305</v>
      </c>
      <c r="B145" t="s">
        <v>16</v>
      </c>
      <c r="C145" t="s">
        <v>17</v>
      </c>
      <c r="D145" t="s">
        <v>12</v>
      </c>
      <c r="E145" s="2">
        <v>2134282.2799999998</v>
      </c>
      <c r="F145" s="3">
        <v>0.1195</v>
      </c>
      <c r="G145" s="2">
        <v>206410.29</v>
      </c>
      <c r="H145" t="s">
        <v>28</v>
      </c>
      <c r="I145" t="s">
        <v>306</v>
      </c>
    </row>
    <row r="146" spans="1:9">
      <c r="A146" t="s">
        <v>307</v>
      </c>
      <c r="B146" t="s">
        <v>21</v>
      </c>
      <c r="C146" t="s">
        <v>27</v>
      </c>
      <c r="D146" t="s">
        <v>34</v>
      </c>
      <c r="E146" s="2">
        <v>1877637.59</v>
      </c>
      <c r="F146" s="3">
        <v>3.3399999999999999E-2</v>
      </c>
      <c r="G146" s="2">
        <v>67751.81</v>
      </c>
      <c r="H146" t="s">
        <v>24</v>
      </c>
      <c r="I146" t="s">
        <v>308</v>
      </c>
    </row>
    <row r="147" spans="1:9">
      <c r="A147" t="s">
        <v>309</v>
      </c>
      <c r="B147" t="s">
        <v>74</v>
      </c>
      <c r="C147" t="s">
        <v>77</v>
      </c>
      <c r="D147" t="s">
        <v>34</v>
      </c>
      <c r="E147" s="2">
        <v>1050869.82</v>
      </c>
      <c r="F147" s="3">
        <v>6.3500000000000001E-2</v>
      </c>
      <c r="G147" s="2">
        <v>50743.21</v>
      </c>
      <c r="H147" t="s">
        <v>13</v>
      </c>
      <c r="I147" t="s">
        <v>310</v>
      </c>
    </row>
    <row r="148" spans="1:9">
      <c r="A148" t="s">
        <v>311</v>
      </c>
      <c r="B148" t="s">
        <v>10</v>
      </c>
      <c r="C148" t="s">
        <v>54</v>
      </c>
      <c r="D148" t="s">
        <v>59</v>
      </c>
      <c r="E148" s="2">
        <v>2335698.2599999998</v>
      </c>
      <c r="F148" s="3">
        <v>2.98E-2</v>
      </c>
      <c r="G148" s="2">
        <v>60759.53</v>
      </c>
      <c r="H148" t="s">
        <v>13</v>
      </c>
      <c r="I148" t="s">
        <v>312</v>
      </c>
    </row>
    <row r="149" spans="1:9">
      <c r="A149" t="s">
        <v>313</v>
      </c>
      <c r="B149" t="s">
        <v>16</v>
      </c>
      <c r="C149" t="s">
        <v>17</v>
      </c>
      <c r="D149" t="s">
        <v>12</v>
      </c>
      <c r="E149" s="2">
        <v>2477777.2200000002</v>
      </c>
      <c r="F149" s="3">
        <v>0.1179</v>
      </c>
      <c r="G149" s="2">
        <v>314754.34000000003</v>
      </c>
      <c r="H149" t="s">
        <v>24</v>
      </c>
      <c r="I149" t="s">
        <v>314</v>
      </c>
    </row>
    <row r="150" spans="1:9">
      <c r="A150" t="s">
        <v>315</v>
      </c>
      <c r="B150" t="s">
        <v>10</v>
      </c>
      <c r="C150" t="s">
        <v>77</v>
      </c>
      <c r="D150" t="s">
        <v>23</v>
      </c>
      <c r="E150" s="2">
        <v>552254.43000000005</v>
      </c>
      <c r="F150" s="3">
        <v>5.5399999999999998E-2</v>
      </c>
      <c r="G150" s="2">
        <v>26553.03</v>
      </c>
      <c r="H150" t="s">
        <v>28</v>
      </c>
      <c r="I150" t="s">
        <v>316</v>
      </c>
    </row>
    <row r="151" spans="1:9">
      <c r="A151" t="s">
        <v>317</v>
      </c>
      <c r="B151" t="s">
        <v>53</v>
      </c>
      <c r="C151" t="s">
        <v>22</v>
      </c>
      <c r="D151" t="s">
        <v>12</v>
      </c>
      <c r="E151" s="2">
        <v>979110.03</v>
      </c>
      <c r="F151" s="3">
        <v>0.13669999999999999</v>
      </c>
      <c r="G151" s="2">
        <v>127876.27</v>
      </c>
      <c r="H151" t="s">
        <v>24</v>
      </c>
      <c r="I151" t="s">
        <v>318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0252B-D3A3-45A1-B47A-7B6C2F005E1C}">
  <dimension ref="A3:C27"/>
  <sheetViews>
    <sheetView workbookViewId="0">
      <selection activeCell="B4" sqref="B4"/>
    </sheetView>
  </sheetViews>
  <sheetFormatPr defaultRowHeight="14.4"/>
  <cols>
    <col min="1" max="1" width="13.6640625" bestFit="1" customWidth="1"/>
    <col min="2" max="2" width="14.5546875" bestFit="1" customWidth="1"/>
    <col min="3" max="3" width="13.5546875" bestFit="1" customWidth="1"/>
    <col min="4" max="4" width="20.109375" bestFit="1" customWidth="1"/>
    <col min="5" max="5" width="13.77734375" bestFit="1" customWidth="1"/>
    <col min="6" max="44" width="15" bestFit="1" customWidth="1"/>
    <col min="45" max="45" width="10.5546875" bestFit="1" customWidth="1"/>
  </cols>
  <sheetData>
    <row r="3" spans="1:3">
      <c r="A3" s="23" t="s">
        <v>2</v>
      </c>
      <c r="B3" s="17" t="s">
        <v>367</v>
      </c>
      <c r="C3" s="17" t="s">
        <v>368</v>
      </c>
    </row>
    <row r="4" spans="1:3">
      <c r="A4" s="22" t="s">
        <v>348</v>
      </c>
      <c r="B4" s="17">
        <v>10</v>
      </c>
      <c r="C4" s="18">
        <v>11126047.74</v>
      </c>
    </row>
    <row r="5" spans="1:3">
      <c r="A5" s="22" t="s">
        <v>349</v>
      </c>
      <c r="B5" s="17">
        <v>9</v>
      </c>
      <c r="C5" s="18">
        <v>12655800.860000001</v>
      </c>
    </row>
    <row r="6" spans="1:3">
      <c r="A6" s="22" t="s">
        <v>345</v>
      </c>
      <c r="B6" s="17">
        <v>5</v>
      </c>
      <c r="C6" s="18">
        <v>5751875.21</v>
      </c>
    </row>
    <row r="7" spans="1:3">
      <c r="A7" s="22" t="s">
        <v>350</v>
      </c>
      <c r="B7" s="17">
        <v>2</v>
      </c>
      <c r="C7" s="18">
        <v>1113854.8400000001</v>
      </c>
    </row>
    <row r="8" spans="1:3">
      <c r="A8" s="22" t="s">
        <v>346</v>
      </c>
      <c r="B8" s="17">
        <v>4</v>
      </c>
      <c r="C8" s="18">
        <v>3689495.54</v>
      </c>
    </row>
    <row r="9" spans="1:3">
      <c r="A9" s="22" t="s">
        <v>347</v>
      </c>
      <c r="B9" s="17">
        <v>10</v>
      </c>
      <c r="C9" s="18">
        <v>12982018.560000001</v>
      </c>
    </row>
    <row r="10" spans="1:3">
      <c r="A10" s="14" t="s">
        <v>362</v>
      </c>
      <c r="B10" s="17">
        <v>40</v>
      </c>
      <c r="C10" s="18">
        <v>47319092.75</v>
      </c>
    </row>
    <row r="11" spans="1:3" s="25" customFormat="1"/>
    <row r="12" spans="1:3">
      <c r="A12" s="21" t="s">
        <v>2</v>
      </c>
      <c r="B12" s="17" t="s">
        <v>369</v>
      </c>
      <c r="C12" s="17" t="s">
        <v>370</v>
      </c>
    </row>
    <row r="13" spans="1:3">
      <c r="A13" s="22" t="s">
        <v>347</v>
      </c>
      <c r="B13" s="18">
        <v>11799356.669183999</v>
      </c>
      <c r="C13" s="18">
        <v>10793093.949183999</v>
      </c>
    </row>
    <row r="14" spans="1:3">
      <c r="A14" s="22" t="s">
        <v>348</v>
      </c>
      <c r="B14" s="18">
        <v>10179221.077326002</v>
      </c>
      <c r="C14" s="18">
        <v>9078725.3473260012</v>
      </c>
    </row>
    <row r="15" spans="1:3">
      <c r="A15" s="22" t="s">
        <v>349</v>
      </c>
      <c r="B15" s="18">
        <v>7956702.000682001</v>
      </c>
      <c r="C15" s="18">
        <v>7172429.4106820012</v>
      </c>
    </row>
    <row r="16" spans="1:3">
      <c r="A16" s="22" t="s">
        <v>345</v>
      </c>
      <c r="B16" s="18">
        <v>2882264.6677310001</v>
      </c>
      <c r="C16" s="18">
        <v>2405783.4977310002</v>
      </c>
    </row>
    <row r="17" spans="1:3">
      <c r="A17" s="22" t="s">
        <v>346</v>
      </c>
      <c r="B17" s="18">
        <v>1261438.5251259999</v>
      </c>
      <c r="C17" s="18">
        <v>957746.095126</v>
      </c>
    </row>
    <row r="18" spans="1:3">
      <c r="A18" s="22" t="s">
        <v>350</v>
      </c>
      <c r="B18" s="18">
        <v>177994.003432</v>
      </c>
      <c r="C18" s="18">
        <v>120743.70343199999</v>
      </c>
    </row>
    <row r="19" spans="1:3">
      <c r="A19" s="14" t="s">
        <v>362</v>
      </c>
      <c r="B19" s="18">
        <v>163501661.17907497</v>
      </c>
      <c r="C19" s="18">
        <v>159773206.23907498</v>
      </c>
    </row>
    <row r="20" spans="1:3" s="25" customFormat="1"/>
    <row r="21" spans="1:3">
      <c r="A21" s="19" t="s">
        <v>358</v>
      </c>
      <c r="B21" t="s">
        <v>13</v>
      </c>
    </row>
    <row r="22" spans="1:3">
      <c r="A22" s="20"/>
    </row>
    <row r="23" spans="1:3">
      <c r="A23" s="16" t="s">
        <v>361</v>
      </c>
      <c r="B23" s="24" t="s">
        <v>371</v>
      </c>
    </row>
    <row r="24" spans="1:3">
      <c r="A24" s="20" t="s">
        <v>364</v>
      </c>
      <c r="B24" s="26">
        <v>5</v>
      </c>
    </row>
    <row r="25" spans="1:3">
      <c r="A25" s="20" t="s">
        <v>365</v>
      </c>
      <c r="B25" s="26">
        <v>25</v>
      </c>
    </row>
    <row r="26" spans="1:3">
      <c r="A26" s="20" t="s">
        <v>366</v>
      </c>
      <c r="B26" s="26">
        <v>10</v>
      </c>
    </row>
    <row r="27" spans="1:3">
      <c r="A27" s="14" t="s">
        <v>362</v>
      </c>
      <c r="B27" s="26">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32634-A0F5-4255-832E-5CDC7BBE7F88}">
  <dimension ref="A1:K151"/>
  <sheetViews>
    <sheetView tabSelected="1" topLeftCell="C1" workbookViewId="0">
      <selection activeCell="K1" sqref="K1:K1048576"/>
    </sheetView>
  </sheetViews>
  <sheetFormatPr defaultRowHeight="14.4"/>
  <cols>
    <col min="1" max="1" width="15.109375" bestFit="1" customWidth="1"/>
    <col min="2" max="2" width="18.5546875" bestFit="1" customWidth="1"/>
    <col min="3" max="3" width="22.88671875" bestFit="1" customWidth="1"/>
    <col min="4" max="4" width="16.33203125" bestFit="1" customWidth="1"/>
    <col min="5" max="5" width="26.44140625" style="8" customWidth="1"/>
    <col min="6" max="6" width="27.109375" bestFit="1" customWidth="1"/>
    <col min="7" max="7" width="30.21875" style="7" bestFit="1" customWidth="1"/>
    <col min="8" max="8" width="15.6640625" bestFit="1" customWidth="1"/>
    <col min="9" max="9" width="23.44140625" bestFit="1" customWidth="1"/>
    <col min="10" max="10" width="17.33203125" bestFit="1" customWidth="1"/>
    <col min="11" max="11" width="12.21875" bestFit="1" customWidth="1"/>
  </cols>
  <sheetData>
    <row r="1" spans="1:11" s="13" customFormat="1" ht="16.8">
      <c r="A1" s="10" t="s">
        <v>353</v>
      </c>
      <c r="B1" s="10" t="s">
        <v>354</v>
      </c>
      <c r="C1" s="10" t="s">
        <v>2</v>
      </c>
      <c r="D1" s="10" t="s">
        <v>355</v>
      </c>
      <c r="E1" s="11" t="s">
        <v>363</v>
      </c>
      <c r="F1" s="10" t="s">
        <v>356</v>
      </c>
      <c r="G1" s="12" t="s">
        <v>357</v>
      </c>
      <c r="H1" s="10" t="s">
        <v>358</v>
      </c>
      <c r="I1" s="10" t="s">
        <v>359</v>
      </c>
      <c r="J1" s="10" t="s">
        <v>360</v>
      </c>
      <c r="K1" s="10" t="s">
        <v>352</v>
      </c>
    </row>
    <row r="2" spans="1:11">
      <c r="A2" t="s">
        <v>9</v>
      </c>
      <c r="B2" t="s">
        <v>10</v>
      </c>
      <c r="C2" t="s">
        <v>345</v>
      </c>
      <c r="D2" t="s">
        <v>12</v>
      </c>
      <c r="E2" s="8">
        <v>780000.66</v>
      </c>
      <c r="F2" s="3">
        <v>0.1404</v>
      </c>
      <c r="G2" s="7">
        <v>93493.83</v>
      </c>
      <c r="H2" t="s">
        <v>13</v>
      </c>
      <c r="I2" s="9">
        <v>46209</v>
      </c>
      <c r="J2">
        <f ca="1">I2-$K$2</f>
        <v>-10</v>
      </c>
      <c r="K2" s="9">
        <f ca="1">TODAY()</f>
        <v>46219</v>
      </c>
    </row>
    <row r="3" spans="1:11">
      <c r="A3" t="s">
        <v>15</v>
      </c>
      <c r="B3" t="s">
        <v>16</v>
      </c>
      <c r="C3" t="s">
        <v>345</v>
      </c>
      <c r="D3" t="s">
        <v>12</v>
      </c>
      <c r="E3" s="8">
        <v>1332825.58</v>
      </c>
      <c r="F3" s="3">
        <v>0.1138</v>
      </c>
      <c r="G3" s="7">
        <v>147407.24</v>
      </c>
      <c r="H3" t="s">
        <v>18</v>
      </c>
      <c r="I3" s="9">
        <v>46090</v>
      </c>
      <c r="J3">
        <f t="shared" ref="J3:J66" ca="1" si="0">I3-$K$2</f>
        <v>-129</v>
      </c>
    </row>
    <row r="4" spans="1:11">
      <c r="A4" t="s">
        <v>20</v>
      </c>
      <c r="B4" t="s">
        <v>21</v>
      </c>
      <c r="C4" t="s">
        <v>346</v>
      </c>
      <c r="D4" t="s">
        <v>23</v>
      </c>
      <c r="E4" s="8">
        <v>1759222.59</v>
      </c>
      <c r="F4" s="3">
        <v>2.63E-2</v>
      </c>
      <c r="G4" s="7">
        <v>36426.519999999997</v>
      </c>
      <c r="H4" t="s">
        <v>24</v>
      </c>
      <c r="I4" s="9">
        <v>46190</v>
      </c>
      <c r="J4">
        <f t="shared" ca="1" si="0"/>
        <v>-29</v>
      </c>
    </row>
    <row r="5" spans="1:11">
      <c r="A5" t="s">
        <v>26</v>
      </c>
      <c r="B5" t="s">
        <v>16</v>
      </c>
      <c r="C5" t="s">
        <v>347</v>
      </c>
      <c r="D5" t="s">
        <v>23</v>
      </c>
      <c r="E5" s="8">
        <v>2001355.85</v>
      </c>
      <c r="F5" s="3">
        <v>0.1216</v>
      </c>
      <c r="G5" s="7">
        <v>262830.28000000003</v>
      </c>
      <c r="H5" t="s">
        <v>28</v>
      </c>
      <c r="I5" s="9">
        <v>46377</v>
      </c>
      <c r="J5">
        <f t="shared" ca="1" si="0"/>
        <v>158</v>
      </c>
    </row>
    <row r="6" spans="1:11">
      <c r="A6" t="s">
        <v>30</v>
      </c>
      <c r="B6" t="s">
        <v>16</v>
      </c>
      <c r="C6" t="s">
        <v>345</v>
      </c>
      <c r="D6" t="s">
        <v>23</v>
      </c>
      <c r="E6" s="8">
        <v>1175399.68</v>
      </c>
      <c r="F6" s="3">
        <v>0.12759999999999999</v>
      </c>
      <c r="G6" s="7">
        <v>152161.42000000001</v>
      </c>
      <c r="H6" t="s">
        <v>28</v>
      </c>
      <c r="I6" s="9">
        <v>46323</v>
      </c>
      <c r="J6">
        <f t="shared" ca="1" si="0"/>
        <v>104</v>
      </c>
    </row>
    <row r="7" spans="1:11">
      <c r="A7" t="s">
        <v>32</v>
      </c>
      <c r="B7" t="s">
        <v>33</v>
      </c>
      <c r="C7" t="s">
        <v>345</v>
      </c>
      <c r="D7" t="s">
        <v>34</v>
      </c>
      <c r="E7" s="8">
        <v>2113123.9700000002</v>
      </c>
      <c r="F7" s="3">
        <v>0.1176</v>
      </c>
      <c r="G7" s="7">
        <v>182839.94</v>
      </c>
      <c r="H7" t="s">
        <v>18</v>
      </c>
      <c r="I7" s="9">
        <v>46398</v>
      </c>
      <c r="J7">
        <f t="shared" ca="1" si="0"/>
        <v>179</v>
      </c>
    </row>
    <row r="8" spans="1:11">
      <c r="A8" t="s">
        <v>36</v>
      </c>
      <c r="B8" t="s">
        <v>21</v>
      </c>
      <c r="C8" t="s">
        <v>347</v>
      </c>
      <c r="D8" t="s">
        <v>23</v>
      </c>
      <c r="E8" s="8">
        <v>1933848.47</v>
      </c>
      <c r="F8" s="3">
        <v>0.1239</v>
      </c>
      <c r="G8" s="7">
        <v>207744.26</v>
      </c>
      <c r="H8" t="s">
        <v>18</v>
      </c>
      <c r="I8" s="9">
        <v>46480</v>
      </c>
      <c r="J8">
        <f t="shared" ca="1" si="0"/>
        <v>261</v>
      </c>
    </row>
    <row r="9" spans="1:11">
      <c r="A9" t="s">
        <v>38</v>
      </c>
      <c r="B9" t="s">
        <v>21</v>
      </c>
      <c r="C9" t="s">
        <v>347</v>
      </c>
      <c r="D9" t="s">
        <v>351</v>
      </c>
      <c r="E9" s="8">
        <v>212278.15</v>
      </c>
      <c r="F9" s="3">
        <v>0.1273</v>
      </c>
      <c r="G9" s="7">
        <v>28418.67</v>
      </c>
      <c r="H9" t="s">
        <v>13</v>
      </c>
      <c r="I9" s="9">
        <v>46498</v>
      </c>
      <c r="J9">
        <f t="shared" ca="1" si="0"/>
        <v>279</v>
      </c>
    </row>
    <row r="10" spans="1:11">
      <c r="A10" t="s">
        <v>41</v>
      </c>
      <c r="B10" t="s">
        <v>21</v>
      </c>
      <c r="C10" t="s">
        <v>346</v>
      </c>
      <c r="D10" t="s">
        <v>351</v>
      </c>
      <c r="E10" s="8">
        <v>162360.1</v>
      </c>
      <c r="F10" s="3">
        <v>4.4200000000000003E-2</v>
      </c>
      <c r="G10" s="7">
        <v>7735.3</v>
      </c>
      <c r="H10" t="s">
        <v>28</v>
      </c>
      <c r="I10" s="9">
        <v>46052</v>
      </c>
      <c r="J10">
        <f t="shared" ca="1" si="0"/>
        <v>-167</v>
      </c>
    </row>
    <row r="11" spans="1:11">
      <c r="A11" t="s">
        <v>44</v>
      </c>
      <c r="B11" t="s">
        <v>16</v>
      </c>
      <c r="C11" t="s">
        <v>347</v>
      </c>
      <c r="D11" t="s">
        <v>351</v>
      </c>
      <c r="E11" s="8">
        <v>1570973.93</v>
      </c>
      <c r="F11" s="3">
        <v>5.0599999999999999E-2</v>
      </c>
      <c r="G11" s="7">
        <v>70505.63</v>
      </c>
      <c r="H11" t="s">
        <v>24</v>
      </c>
      <c r="I11" s="9">
        <v>46285</v>
      </c>
      <c r="J11">
        <f t="shared" ca="1" si="0"/>
        <v>66</v>
      </c>
    </row>
    <row r="12" spans="1:11">
      <c r="A12" t="s">
        <v>46</v>
      </c>
      <c r="B12" t="s">
        <v>10</v>
      </c>
      <c r="C12" t="s">
        <v>348</v>
      </c>
      <c r="D12" t="s">
        <v>351</v>
      </c>
      <c r="E12" s="8">
        <v>25000000</v>
      </c>
      <c r="F12" s="3">
        <v>0.1024</v>
      </c>
      <c r="G12" s="7">
        <v>2420133.2599999998</v>
      </c>
      <c r="H12" t="s">
        <v>18</v>
      </c>
      <c r="I12" s="9">
        <v>46214</v>
      </c>
      <c r="J12">
        <f t="shared" ca="1" si="0"/>
        <v>-5</v>
      </c>
    </row>
    <row r="13" spans="1:11">
      <c r="A13" t="s">
        <v>49</v>
      </c>
      <c r="B13" t="s">
        <v>21</v>
      </c>
      <c r="C13" t="s">
        <v>349</v>
      </c>
      <c r="D13" t="s">
        <v>23</v>
      </c>
      <c r="E13" s="8">
        <v>562370.43999999994</v>
      </c>
      <c r="F13" s="3">
        <v>0.13800000000000001</v>
      </c>
      <c r="G13" s="7">
        <v>59510.19</v>
      </c>
      <c r="H13" t="s">
        <v>24</v>
      </c>
      <c r="I13" s="9">
        <v>46293</v>
      </c>
      <c r="J13">
        <f t="shared" ca="1" si="0"/>
        <v>74</v>
      </c>
    </row>
    <row r="14" spans="1:11">
      <c r="A14" t="s">
        <v>52</v>
      </c>
      <c r="B14" t="s">
        <v>53</v>
      </c>
      <c r="C14" t="s">
        <v>349</v>
      </c>
      <c r="D14" t="s">
        <v>23</v>
      </c>
      <c r="E14" s="8">
        <v>1470142.34</v>
      </c>
      <c r="F14" s="3">
        <v>6.1100000000000002E-2</v>
      </c>
      <c r="G14" s="7">
        <v>98490.95</v>
      </c>
      <c r="H14" t="s">
        <v>24</v>
      </c>
      <c r="I14" s="9">
        <v>45951</v>
      </c>
      <c r="J14">
        <f t="shared" ca="1" si="0"/>
        <v>-268</v>
      </c>
    </row>
    <row r="15" spans="1:11">
      <c r="A15" t="s">
        <v>56</v>
      </c>
      <c r="B15" t="s">
        <v>16</v>
      </c>
      <c r="C15" t="s">
        <v>349</v>
      </c>
      <c r="D15" t="s">
        <v>34</v>
      </c>
      <c r="E15" s="8">
        <v>886829.87</v>
      </c>
      <c r="F15" s="3">
        <v>9.6500000000000002E-2</v>
      </c>
      <c r="G15" s="7">
        <v>67835.86</v>
      </c>
      <c r="H15" t="s">
        <v>28</v>
      </c>
      <c r="I15" s="9">
        <v>46071</v>
      </c>
      <c r="J15">
        <f t="shared" ca="1" si="0"/>
        <v>-148</v>
      </c>
    </row>
    <row r="16" spans="1:11">
      <c r="A16" t="s">
        <v>58</v>
      </c>
      <c r="B16" t="s">
        <v>33</v>
      </c>
      <c r="C16" t="s">
        <v>348</v>
      </c>
      <c r="D16" t="s">
        <v>59</v>
      </c>
      <c r="E16" s="8">
        <v>1366295.37</v>
      </c>
      <c r="F16" s="3">
        <v>0.10879999999999999</v>
      </c>
      <c r="G16" s="7">
        <v>160112.99</v>
      </c>
      <c r="H16" t="s">
        <v>28</v>
      </c>
      <c r="I16" s="9">
        <v>46218</v>
      </c>
      <c r="J16">
        <f t="shared" ca="1" si="0"/>
        <v>-1</v>
      </c>
    </row>
    <row r="17" spans="1:10">
      <c r="A17" t="s">
        <v>61</v>
      </c>
      <c r="B17" t="s">
        <v>10</v>
      </c>
      <c r="C17" t="s">
        <v>349</v>
      </c>
      <c r="D17" t="s">
        <v>12</v>
      </c>
      <c r="E17" s="8">
        <v>1177291.94</v>
      </c>
      <c r="F17" s="3">
        <v>7.8799999999999995E-2</v>
      </c>
      <c r="G17" s="7">
        <v>89046.67</v>
      </c>
      <c r="H17" t="s">
        <v>18</v>
      </c>
      <c r="I17" s="9">
        <v>45933</v>
      </c>
      <c r="J17">
        <f t="shared" ca="1" si="0"/>
        <v>-286</v>
      </c>
    </row>
    <row r="18" spans="1:10">
      <c r="A18" t="s">
        <v>63</v>
      </c>
      <c r="B18" t="s">
        <v>53</v>
      </c>
      <c r="C18" t="s">
        <v>349</v>
      </c>
      <c r="D18" t="s">
        <v>34</v>
      </c>
      <c r="E18" s="8">
        <v>1482676.96</v>
      </c>
      <c r="F18" s="3">
        <v>0.1128</v>
      </c>
      <c r="G18" s="7">
        <v>157728.78</v>
      </c>
      <c r="H18" t="s">
        <v>28</v>
      </c>
      <c r="I18" s="9">
        <v>46434</v>
      </c>
      <c r="J18">
        <f t="shared" ca="1" si="0"/>
        <v>215</v>
      </c>
    </row>
    <row r="19" spans="1:10">
      <c r="A19" t="s">
        <v>65</v>
      </c>
      <c r="B19" t="s">
        <v>53</v>
      </c>
      <c r="C19" t="s">
        <v>347</v>
      </c>
      <c r="D19" t="s">
        <v>23</v>
      </c>
      <c r="E19" s="8">
        <v>1030736.2</v>
      </c>
      <c r="F19" s="3">
        <v>0.13700000000000001</v>
      </c>
      <c r="G19" s="7">
        <v>127806.48</v>
      </c>
      <c r="H19" t="s">
        <v>28</v>
      </c>
      <c r="I19" s="9">
        <v>46035</v>
      </c>
      <c r="J19">
        <f t="shared" ca="1" si="0"/>
        <v>-184</v>
      </c>
    </row>
    <row r="20" spans="1:10">
      <c r="A20" t="s">
        <v>67</v>
      </c>
      <c r="B20" t="s">
        <v>33</v>
      </c>
      <c r="C20" t="s">
        <v>346</v>
      </c>
      <c r="D20" t="s">
        <v>351</v>
      </c>
      <c r="E20" s="8">
        <v>1759285.56</v>
      </c>
      <c r="F20" s="3">
        <v>0.1011</v>
      </c>
      <c r="G20" s="7">
        <v>140915.76</v>
      </c>
      <c r="H20" t="s">
        <v>28</v>
      </c>
      <c r="I20" s="9">
        <v>46109</v>
      </c>
      <c r="J20">
        <f t="shared" ca="1" si="0"/>
        <v>-110</v>
      </c>
    </row>
    <row r="21" spans="1:10">
      <c r="A21" t="s">
        <v>69</v>
      </c>
      <c r="B21" t="s">
        <v>10</v>
      </c>
      <c r="C21" t="s">
        <v>349</v>
      </c>
      <c r="D21" t="s">
        <v>23</v>
      </c>
      <c r="E21" s="8">
        <v>491164.82</v>
      </c>
      <c r="F21" s="3">
        <v>9.0200000000000002E-2</v>
      </c>
      <c r="G21" s="7">
        <v>34140.44</v>
      </c>
      <c r="H21" t="s">
        <v>24</v>
      </c>
      <c r="I21" s="9">
        <v>46149</v>
      </c>
      <c r="J21">
        <f t="shared" ca="1" si="0"/>
        <v>-70</v>
      </c>
    </row>
    <row r="22" spans="1:10">
      <c r="A22" t="s">
        <v>71</v>
      </c>
      <c r="B22" t="s">
        <v>16</v>
      </c>
      <c r="C22" t="s">
        <v>348</v>
      </c>
      <c r="D22" t="s">
        <v>34</v>
      </c>
      <c r="E22" s="8">
        <v>1756428.59</v>
      </c>
      <c r="F22" s="3">
        <v>7.6999999999999999E-2</v>
      </c>
      <c r="G22" s="7">
        <v>106599.36</v>
      </c>
      <c r="H22" t="s">
        <v>18</v>
      </c>
      <c r="I22" s="9">
        <v>46232</v>
      </c>
      <c r="J22">
        <f t="shared" ca="1" si="0"/>
        <v>13</v>
      </c>
    </row>
    <row r="23" spans="1:10">
      <c r="A23" t="s">
        <v>73</v>
      </c>
      <c r="B23" t="s">
        <v>74</v>
      </c>
      <c r="C23" t="s">
        <v>347</v>
      </c>
      <c r="D23" t="s">
        <v>12</v>
      </c>
      <c r="E23" s="8">
        <v>1058569.98</v>
      </c>
      <c r="F23" s="3">
        <v>9.5100000000000004E-2</v>
      </c>
      <c r="G23" s="7">
        <v>77976.5</v>
      </c>
      <c r="H23" t="s">
        <v>13</v>
      </c>
      <c r="I23" s="9">
        <v>46020</v>
      </c>
      <c r="J23">
        <f t="shared" ca="1" si="0"/>
        <v>-199</v>
      </c>
    </row>
    <row r="24" spans="1:10">
      <c r="A24" t="s">
        <v>76</v>
      </c>
      <c r="B24" t="s">
        <v>10</v>
      </c>
      <c r="C24" t="s">
        <v>350</v>
      </c>
      <c r="D24" t="s">
        <v>23</v>
      </c>
      <c r="E24" s="8">
        <v>2192078.13</v>
      </c>
      <c r="F24" s="3">
        <v>6.6199999999999995E-2</v>
      </c>
      <c r="G24" s="7">
        <v>146832.84</v>
      </c>
      <c r="H24" t="s">
        <v>24</v>
      </c>
      <c r="I24" s="9">
        <v>45977</v>
      </c>
      <c r="J24">
        <f t="shared" ca="1" si="0"/>
        <v>-242</v>
      </c>
    </row>
    <row r="25" spans="1:10">
      <c r="A25" t="s">
        <v>79</v>
      </c>
      <c r="B25" t="s">
        <v>33</v>
      </c>
      <c r="C25" t="s">
        <v>345</v>
      </c>
      <c r="D25" t="s">
        <v>12</v>
      </c>
      <c r="E25" s="8">
        <v>1312328.33</v>
      </c>
      <c r="F25" s="3">
        <v>7.0900000000000005E-2</v>
      </c>
      <c r="G25" s="7">
        <v>78161.69</v>
      </c>
      <c r="H25" t="s">
        <v>28</v>
      </c>
      <c r="I25" s="9">
        <v>46328</v>
      </c>
      <c r="J25">
        <f t="shared" ca="1" si="0"/>
        <v>109</v>
      </c>
    </row>
    <row r="26" spans="1:10">
      <c r="A26" t="s">
        <v>81</v>
      </c>
      <c r="B26" t="s">
        <v>53</v>
      </c>
      <c r="C26" t="s">
        <v>349</v>
      </c>
      <c r="D26" t="s">
        <v>59</v>
      </c>
      <c r="E26" s="8">
        <v>2434120.36</v>
      </c>
      <c r="F26" s="3">
        <v>8.9099999999999999E-2</v>
      </c>
      <c r="G26" s="7">
        <v>156834.06</v>
      </c>
      <c r="H26" t="s">
        <v>24</v>
      </c>
      <c r="I26" s="9">
        <v>45991</v>
      </c>
      <c r="J26">
        <f t="shared" ca="1" si="0"/>
        <v>-228</v>
      </c>
    </row>
    <row r="27" spans="1:10">
      <c r="A27" t="s">
        <v>83</v>
      </c>
      <c r="B27" t="s">
        <v>16</v>
      </c>
      <c r="C27" t="s">
        <v>350</v>
      </c>
      <c r="D27" t="s">
        <v>59</v>
      </c>
      <c r="E27" s="8">
        <v>1524741.72</v>
      </c>
      <c r="F27" s="3">
        <v>2.87E-2</v>
      </c>
      <c r="G27" s="7">
        <v>47595.27</v>
      </c>
      <c r="H27" t="s">
        <v>28</v>
      </c>
      <c r="I27" s="9">
        <v>46234</v>
      </c>
      <c r="J27">
        <f t="shared" ca="1" si="0"/>
        <v>15</v>
      </c>
    </row>
    <row r="28" spans="1:10">
      <c r="A28" t="s">
        <v>85</v>
      </c>
      <c r="B28" t="s">
        <v>10</v>
      </c>
      <c r="C28" t="s">
        <v>348</v>
      </c>
      <c r="D28" t="s">
        <v>23</v>
      </c>
      <c r="E28" s="8">
        <v>598430.21</v>
      </c>
      <c r="F28" s="3">
        <v>4.9799999999999997E-2</v>
      </c>
      <c r="G28" s="7">
        <v>31396.65</v>
      </c>
      <c r="H28" t="s">
        <v>28</v>
      </c>
      <c r="I28" s="9">
        <v>46211</v>
      </c>
      <c r="J28">
        <f t="shared" ca="1" si="0"/>
        <v>-8</v>
      </c>
    </row>
    <row r="29" spans="1:10">
      <c r="A29" t="s">
        <v>88</v>
      </c>
      <c r="B29" t="s">
        <v>74</v>
      </c>
      <c r="C29" t="s">
        <v>349</v>
      </c>
      <c r="D29" t="s">
        <v>59</v>
      </c>
      <c r="E29" s="8">
        <v>2063387.06</v>
      </c>
      <c r="F29" s="3">
        <v>9.06E-2</v>
      </c>
      <c r="G29" s="7">
        <v>200234.68</v>
      </c>
      <c r="H29" t="s">
        <v>24</v>
      </c>
      <c r="I29" s="9">
        <v>46470</v>
      </c>
      <c r="J29">
        <f t="shared" ca="1" si="0"/>
        <v>251</v>
      </c>
    </row>
    <row r="30" spans="1:10">
      <c r="A30" t="s">
        <v>90</v>
      </c>
      <c r="B30" t="s">
        <v>74</v>
      </c>
      <c r="C30" t="s">
        <v>348</v>
      </c>
      <c r="D30" t="s">
        <v>23</v>
      </c>
      <c r="E30" s="8">
        <v>895452.44</v>
      </c>
      <c r="F30" s="3">
        <v>7.6100000000000001E-2</v>
      </c>
      <c r="G30" s="7">
        <v>74819.520000000004</v>
      </c>
      <c r="H30" t="s">
        <v>18</v>
      </c>
      <c r="I30" s="9">
        <v>46070</v>
      </c>
      <c r="J30">
        <f t="shared" ca="1" si="0"/>
        <v>-149</v>
      </c>
    </row>
    <row r="31" spans="1:10">
      <c r="A31" t="s">
        <v>92</v>
      </c>
      <c r="B31" t="s">
        <v>21</v>
      </c>
      <c r="C31" t="s">
        <v>347</v>
      </c>
      <c r="D31" t="s">
        <v>34</v>
      </c>
      <c r="E31" s="8">
        <v>901667.08</v>
      </c>
      <c r="F31" s="3">
        <v>6.3299999999999995E-2</v>
      </c>
      <c r="G31" s="7">
        <v>43922.93</v>
      </c>
      <c r="H31" t="s">
        <v>28</v>
      </c>
      <c r="I31" s="9">
        <v>46389</v>
      </c>
      <c r="J31">
        <f t="shared" ca="1" si="0"/>
        <v>170</v>
      </c>
    </row>
    <row r="32" spans="1:10">
      <c r="A32" t="s">
        <v>94</v>
      </c>
      <c r="B32" t="s">
        <v>21</v>
      </c>
      <c r="C32" t="s">
        <v>348</v>
      </c>
      <c r="D32" t="s">
        <v>34</v>
      </c>
      <c r="E32" s="8">
        <v>127921.47</v>
      </c>
      <c r="F32" s="3">
        <v>0.115</v>
      </c>
      <c r="G32" s="7">
        <v>12629.32</v>
      </c>
      <c r="H32" t="s">
        <v>18</v>
      </c>
      <c r="I32" s="9">
        <v>46166</v>
      </c>
      <c r="J32">
        <f t="shared" ca="1" si="0"/>
        <v>-53</v>
      </c>
    </row>
    <row r="33" spans="1:10">
      <c r="A33" t="s">
        <v>96</v>
      </c>
      <c r="B33" t="s">
        <v>33</v>
      </c>
      <c r="C33" t="s">
        <v>347</v>
      </c>
      <c r="D33" t="s">
        <v>23</v>
      </c>
      <c r="E33" s="8">
        <v>1394352.51</v>
      </c>
      <c r="F33" s="3">
        <v>0.11020000000000001</v>
      </c>
      <c r="G33" s="7">
        <v>154164.01</v>
      </c>
      <c r="H33" t="s">
        <v>13</v>
      </c>
      <c r="I33" s="9">
        <v>46413</v>
      </c>
      <c r="J33">
        <f t="shared" ca="1" si="0"/>
        <v>194</v>
      </c>
    </row>
    <row r="34" spans="1:10">
      <c r="A34" t="s">
        <v>98</v>
      </c>
      <c r="B34" t="s">
        <v>10</v>
      </c>
      <c r="C34" t="s">
        <v>346</v>
      </c>
      <c r="D34" t="s">
        <v>59</v>
      </c>
      <c r="E34" s="8">
        <v>1359337.58</v>
      </c>
      <c r="F34" s="3">
        <v>4.1700000000000001E-2</v>
      </c>
      <c r="G34" s="7">
        <v>55460.46</v>
      </c>
      <c r="H34" t="s">
        <v>28</v>
      </c>
      <c r="I34" s="9">
        <v>46429</v>
      </c>
      <c r="J34">
        <f t="shared" ca="1" si="0"/>
        <v>210</v>
      </c>
    </row>
    <row r="35" spans="1:10">
      <c r="A35" t="s">
        <v>100</v>
      </c>
      <c r="B35" t="s">
        <v>10</v>
      </c>
      <c r="C35" t="s">
        <v>348</v>
      </c>
      <c r="D35" t="s">
        <v>351</v>
      </c>
      <c r="E35" s="8">
        <v>922179.14</v>
      </c>
      <c r="F35" s="3">
        <v>0.13420000000000001</v>
      </c>
      <c r="G35" s="7">
        <v>94247.75</v>
      </c>
      <c r="H35" t="s">
        <v>18</v>
      </c>
      <c r="I35" s="9">
        <v>46287</v>
      </c>
      <c r="J35">
        <f t="shared" ca="1" si="0"/>
        <v>68</v>
      </c>
    </row>
    <row r="36" spans="1:10">
      <c r="A36" t="s">
        <v>102</v>
      </c>
      <c r="B36" t="s">
        <v>53</v>
      </c>
      <c r="C36" t="s">
        <v>347</v>
      </c>
      <c r="D36" t="s">
        <v>351</v>
      </c>
      <c r="E36" s="8">
        <v>2240832.29</v>
      </c>
      <c r="F36" s="3">
        <v>8.4400000000000003E-2</v>
      </c>
      <c r="G36" s="7">
        <v>194106.55</v>
      </c>
      <c r="H36" t="s">
        <v>18</v>
      </c>
      <c r="I36" s="9">
        <v>46404</v>
      </c>
      <c r="J36">
        <f t="shared" ca="1" si="0"/>
        <v>185</v>
      </c>
    </row>
    <row r="37" spans="1:10">
      <c r="A37" t="s">
        <v>104</v>
      </c>
      <c r="B37" t="s">
        <v>53</v>
      </c>
      <c r="C37" t="s">
        <v>348</v>
      </c>
      <c r="D37" t="s">
        <v>59</v>
      </c>
      <c r="E37" s="8">
        <v>365433.58</v>
      </c>
      <c r="F37" s="3">
        <v>0.1164</v>
      </c>
      <c r="G37" s="7">
        <v>33594.29</v>
      </c>
      <c r="H37" t="s">
        <v>13</v>
      </c>
      <c r="I37" s="9">
        <v>46123</v>
      </c>
      <c r="J37">
        <f t="shared" ca="1" si="0"/>
        <v>-96</v>
      </c>
    </row>
    <row r="38" spans="1:10">
      <c r="A38" t="s">
        <v>106</v>
      </c>
      <c r="B38" t="s">
        <v>53</v>
      </c>
      <c r="C38" t="s">
        <v>349</v>
      </c>
      <c r="D38" t="s">
        <v>351</v>
      </c>
      <c r="E38" s="8">
        <v>858743.81</v>
      </c>
      <c r="F38" s="3">
        <v>9.4500000000000001E-2</v>
      </c>
      <c r="G38" s="7">
        <v>64071.14</v>
      </c>
      <c r="H38" t="s">
        <v>18</v>
      </c>
      <c r="I38" s="9">
        <v>46076</v>
      </c>
      <c r="J38">
        <f t="shared" ca="1" si="0"/>
        <v>-143</v>
      </c>
    </row>
    <row r="39" spans="1:10">
      <c r="A39" t="s">
        <v>108</v>
      </c>
      <c r="B39" t="s">
        <v>21</v>
      </c>
      <c r="C39" t="s">
        <v>346</v>
      </c>
      <c r="D39" t="s">
        <v>34</v>
      </c>
      <c r="E39" s="8">
        <v>837877.77</v>
      </c>
      <c r="F39" s="3">
        <v>0.1497</v>
      </c>
      <c r="G39" s="7">
        <v>114742.36</v>
      </c>
      <c r="H39" t="s">
        <v>18</v>
      </c>
      <c r="I39" s="9">
        <v>46372</v>
      </c>
      <c r="J39">
        <f t="shared" ca="1" si="0"/>
        <v>153</v>
      </c>
    </row>
    <row r="40" spans="1:10">
      <c r="A40" t="s">
        <v>110</v>
      </c>
      <c r="B40" t="s">
        <v>10</v>
      </c>
      <c r="C40" t="s">
        <v>345</v>
      </c>
      <c r="D40" t="s">
        <v>12</v>
      </c>
      <c r="E40" s="8">
        <v>276111.94</v>
      </c>
      <c r="F40" s="3">
        <v>0.1178</v>
      </c>
      <c r="G40" s="7">
        <v>30482.57</v>
      </c>
      <c r="H40" t="s">
        <v>13</v>
      </c>
      <c r="I40" s="9">
        <v>46423</v>
      </c>
      <c r="J40">
        <f t="shared" ca="1" si="0"/>
        <v>204</v>
      </c>
    </row>
    <row r="41" spans="1:10">
      <c r="A41" t="s">
        <v>112</v>
      </c>
      <c r="B41" t="s">
        <v>10</v>
      </c>
      <c r="C41" t="s">
        <v>347</v>
      </c>
      <c r="D41" t="s">
        <v>59</v>
      </c>
      <c r="E41" s="8">
        <v>1228806.22</v>
      </c>
      <c r="F41" s="3">
        <v>0.1119</v>
      </c>
      <c r="G41" s="7">
        <v>128157.93</v>
      </c>
      <c r="H41" t="s">
        <v>28</v>
      </c>
      <c r="I41" s="9">
        <v>45995</v>
      </c>
      <c r="J41">
        <f t="shared" ca="1" si="0"/>
        <v>-224</v>
      </c>
    </row>
    <row r="42" spans="1:10">
      <c r="A42" t="s">
        <v>114</v>
      </c>
      <c r="B42" t="s">
        <v>74</v>
      </c>
      <c r="C42" t="s">
        <v>346</v>
      </c>
      <c r="D42" t="s">
        <v>351</v>
      </c>
      <c r="E42" s="8">
        <v>1735072.56</v>
      </c>
      <c r="F42" s="3">
        <v>0.1212</v>
      </c>
      <c r="G42" s="7">
        <v>154899.09</v>
      </c>
      <c r="H42" t="s">
        <v>18</v>
      </c>
      <c r="I42" s="9">
        <v>46218</v>
      </c>
      <c r="J42">
        <f t="shared" ca="1" si="0"/>
        <v>-1</v>
      </c>
    </row>
    <row r="43" spans="1:10">
      <c r="A43" t="s">
        <v>115</v>
      </c>
      <c r="B43" t="s">
        <v>21</v>
      </c>
      <c r="C43" t="s">
        <v>346</v>
      </c>
      <c r="D43" t="s">
        <v>351</v>
      </c>
      <c r="E43" s="8">
        <v>1303559.6799999999</v>
      </c>
      <c r="F43" s="3">
        <v>3.8600000000000002E-2</v>
      </c>
      <c r="G43" s="7">
        <v>52882.8</v>
      </c>
      <c r="H43" t="s">
        <v>18</v>
      </c>
      <c r="I43" s="9">
        <v>45939</v>
      </c>
      <c r="J43">
        <f t="shared" ca="1" si="0"/>
        <v>-280</v>
      </c>
    </row>
    <row r="44" spans="1:10">
      <c r="A44" t="s">
        <v>117</v>
      </c>
      <c r="B44" t="s">
        <v>16</v>
      </c>
      <c r="C44" t="s">
        <v>347</v>
      </c>
      <c r="D44" t="s">
        <v>12</v>
      </c>
      <c r="E44" s="8">
        <v>434595.32</v>
      </c>
      <c r="F44" s="3">
        <v>4.6600000000000003E-2</v>
      </c>
      <c r="G44" s="7">
        <v>16328.09</v>
      </c>
      <c r="H44" t="s">
        <v>18</v>
      </c>
      <c r="I44" s="9">
        <v>46139</v>
      </c>
      <c r="J44">
        <f t="shared" ca="1" si="0"/>
        <v>-80</v>
      </c>
    </row>
    <row r="45" spans="1:10">
      <c r="A45" t="s">
        <v>119</v>
      </c>
      <c r="B45" t="s">
        <v>21</v>
      </c>
      <c r="C45" t="s">
        <v>350</v>
      </c>
      <c r="D45" t="s">
        <v>12</v>
      </c>
      <c r="E45" s="8">
        <v>974350.61</v>
      </c>
      <c r="F45" s="3">
        <v>0.1128</v>
      </c>
      <c r="G45" s="7">
        <v>82628.55</v>
      </c>
      <c r="H45" t="s">
        <v>24</v>
      </c>
      <c r="I45" s="9">
        <v>45983</v>
      </c>
      <c r="J45">
        <f t="shared" ca="1" si="0"/>
        <v>-236</v>
      </c>
    </row>
    <row r="46" spans="1:10">
      <c r="A46" t="s">
        <v>122</v>
      </c>
      <c r="B46" t="s">
        <v>16</v>
      </c>
      <c r="C46" t="s">
        <v>346</v>
      </c>
      <c r="D46" t="s">
        <v>12</v>
      </c>
      <c r="E46" s="8">
        <v>56357.81</v>
      </c>
      <c r="F46" s="3">
        <v>8.4199999999999997E-2</v>
      </c>
      <c r="G46" s="7">
        <v>5008.6899999999996</v>
      </c>
      <c r="H46" t="s">
        <v>13</v>
      </c>
      <c r="I46" s="9">
        <v>45964</v>
      </c>
      <c r="J46">
        <f t="shared" ca="1" si="0"/>
        <v>-255</v>
      </c>
    </row>
    <row r="47" spans="1:10">
      <c r="A47" t="s">
        <v>124</v>
      </c>
      <c r="B47" t="s">
        <v>74</v>
      </c>
      <c r="C47" t="s">
        <v>349</v>
      </c>
      <c r="D47" t="s">
        <v>23</v>
      </c>
      <c r="E47" s="8">
        <v>50000</v>
      </c>
      <c r="F47" s="3">
        <v>0.1181</v>
      </c>
      <c r="G47" s="7">
        <v>0</v>
      </c>
      <c r="H47" t="s">
        <v>24</v>
      </c>
      <c r="I47" s="9">
        <v>45947</v>
      </c>
      <c r="J47">
        <f t="shared" ca="1" si="0"/>
        <v>-272</v>
      </c>
    </row>
    <row r="48" spans="1:10">
      <c r="A48" t="s">
        <v>126</v>
      </c>
      <c r="B48" t="s">
        <v>33</v>
      </c>
      <c r="C48" t="s">
        <v>348</v>
      </c>
      <c r="D48" t="s">
        <v>34</v>
      </c>
      <c r="E48" s="8">
        <v>257066.67</v>
      </c>
      <c r="F48" s="3">
        <v>3.3399999999999999E-2</v>
      </c>
      <c r="G48" s="7">
        <v>8971.1200000000008</v>
      </c>
      <c r="H48" t="s">
        <v>13</v>
      </c>
      <c r="I48" s="9">
        <v>45961</v>
      </c>
      <c r="J48">
        <f t="shared" ca="1" si="0"/>
        <v>-258</v>
      </c>
    </row>
    <row r="49" spans="1:10">
      <c r="A49" t="s">
        <v>128</v>
      </c>
      <c r="B49" t="s">
        <v>10</v>
      </c>
      <c r="C49" t="s">
        <v>347</v>
      </c>
      <c r="D49" t="s">
        <v>351</v>
      </c>
      <c r="E49" s="8">
        <v>1513331.3</v>
      </c>
      <c r="F49" s="3">
        <v>8.9700000000000002E-2</v>
      </c>
      <c r="G49" s="7">
        <v>138977.44</v>
      </c>
      <c r="H49" t="s">
        <v>28</v>
      </c>
      <c r="I49" s="9">
        <v>46053</v>
      </c>
      <c r="J49">
        <f t="shared" ca="1" si="0"/>
        <v>-166</v>
      </c>
    </row>
    <row r="50" spans="1:10">
      <c r="A50" t="s">
        <v>130</v>
      </c>
      <c r="B50" t="s">
        <v>74</v>
      </c>
      <c r="C50" t="s">
        <v>349</v>
      </c>
      <c r="D50" t="s">
        <v>23</v>
      </c>
      <c r="E50" s="8">
        <v>2466329.64</v>
      </c>
      <c r="F50" s="3">
        <v>6.9199999999999998E-2</v>
      </c>
      <c r="G50" s="7">
        <v>164201.07</v>
      </c>
      <c r="H50" t="s">
        <v>28</v>
      </c>
      <c r="I50" s="9">
        <v>46420</v>
      </c>
      <c r="J50">
        <f t="shared" ca="1" si="0"/>
        <v>201</v>
      </c>
    </row>
    <row r="51" spans="1:10">
      <c r="A51" t="s">
        <v>132</v>
      </c>
      <c r="B51" t="s">
        <v>10</v>
      </c>
      <c r="C51" t="s">
        <v>349</v>
      </c>
      <c r="D51" t="s">
        <v>23</v>
      </c>
      <c r="E51" s="8">
        <v>1364647.08</v>
      </c>
      <c r="F51" s="3">
        <v>7.9399999999999998E-2</v>
      </c>
      <c r="G51" s="7">
        <v>99721.9</v>
      </c>
      <c r="H51" t="s">
        <v>18</v>
      </c>
      <c r="I51" s="9">
        <v>46151</v>
      </c>
      <c r="J51">
        <f t="shared" ca="1" si="0"/>
        <v>-68</v>
      </c>
    </row>
    <row r="52" spans="1:10">
      <c r="A52" t="s">
        <v>134</v>
      </c>
      <c r="B52" t="s">
        <v>53</v>
      </c>
      <c r="C52" t="s">
        <v>348</v>
      </c>
      <c r="D52" t="s">
        <v>34</v>
      </c>
      <c r="E52" s="8">
        <v>2313902.31</v>
      </c>
      <c r="F52" s="3">
        <v>9.8500000000000004E-2</v>
      </c>
      <c r="G52" s="7">
        <v>167473.95000000001</v>
      </c>
      <c r="H52" t="s">
        <v>13</v>
      </c>
      <c r="I52" s="9">
        <v>46030</v>
      </c>
      <c r="J52">
        <f t="shared" ca="1" si="0"/>
        <v>-189</v>
      </c>
    </row>
    <row r="53" spans="1:10">
      <c r="A53" t="s">
        <v>136</v>
      </c>
      <c r="B53" t="s">
        <v>33</v>
      </c>
      <c r="C53" t="s">
        <v>345</v>
      </c>
      <c r="D53" t="s">
        <v>23</v>
      </c>
      <c r="E53" s="8">
        <v>628485.51</v>
      </c>
      <c r="F53" s="3">
        <v>8.5300000000000001E-2</v>
      </c>
      <c r="G53" s="7">
        <v>46285.71</v>
      </c>
      <c r="H53" t="s">
        <v>28</v>
      </c>
      <c r="I53" s="9">
        <v>46094</v>
      </c>
      <c r="J53">
        <f t="shared" ca="1" si="0"/>
        <v>-125</v>
      </c>
    </row>
    <row r="54" spans="1:10">
      <c r="A54" t="s">
        <v>138</v>
      </c>
      <c r="B54" t="s">
        <v>33</v>
      </c>
      <c r="C54" t="s">
        <v>349</v>
      </c>
      <c r="D54" t="s">
        <v>12</v>
      </c>
      <c r="E54" s="8">
        <v>1911890.75</v>
      </c>
      <c r="F54" s="3">
        <v>9.0200000000000002E-2</v>
      </c>
      <c r="G54" s="7">
        <v>146425.22</v>
      </c>
      <c r="H54" t="s">
        <v>13</v>
      </c>
      <c r="I54" s="9">
        <v>46357</v>
      </c>
      <c r="J54">
        <f t="shared" ca="1" si="0"/>
        <v>138</v>
      </c>
    </row>
    <row r="55" spans="1:10">
      <c r="A55" t="s">
        <v>140</v>
      </c>
      <c r="B55" t="s">
        <v>74</v>
      </c>
      <c r="C55" t="s">
        <v>346</v>
      </c>
      <c r="D55" t="s">
        <v>34</v>
      </c>
      <c r="E55" s="8">
        <v>1351601.1</v>
      </c>
      <c r="F55" s="3">
        <v>8.3199999999999996E-2</v>
      </c>
      <c r="G55" s="7">
        <v>90401.31</v>
      </c>
      <c r="H55" t="s">
        <v>28</v>
      </c>
      <c r="I55" s="9">
        <v>46400</v>
      </c>
      <c r="J55">
        <f t="shared" ca="1" si="0"/>
        <v>181</v>
      </c>
    </row>
    <row r="56" spans="1:10">
      <c r="A56" t="s">
        <v>142</v>
      </c>
      <c r="B56" t="s">
        <v>33</v>
      </c>
      <c r="C56" t="s">
        <v>346</v>
      </c>
      <c r="D56" t="s">
        <v>351</v>
      </c>
      <c r="E56" s="8">
        <v>1815264.35</v>
      </c>
      <c r="F56" s="3">
        <v>7.3200000000000001E-2</v>
      </c>
      <c r="G56" s="7">
        <v>131464.6</v>
      </c>
      <c r="H56" t="s">
        <v>24</v>
      </c>
      <c r="I56" s="9">
        <v>46024</v>
      </c>
      <c r="J56">
        <f t="shared" ca="1" si="0"/>
        <v>-195</v>
      </c>
    </row>
    <row r="57" spans="1:10">
      <c r="A57" t="s">
        <v>144</v>
      </c>
      <c r="B57" t="s">
        <v>16</v>
      </c>
      <c r="C57" t="s">
        <v>348</v>
      </c>
      <c r="D57" t="s">
        <v>34</v>
      </c>
      <c r="E57" s="8">
        <v>202736.34</v>
      </c>
      <c r="F57" s="3">
        <v>0.1203</v>
      </c>
      <c r="G57" s="7">
        <v>21910.03</v>
      </c>
      <c r="H57" t="s">
        <v>28</v>
      </c>
      <c r="I57" s="9">
        <v>46446</v>
      </c>
      <c r="J57">
        <f t="shared" ca="1" si="0"/>
        <v>227</v>
      </c>
    </row>
    <row r="58" spans="1:10">
      <c r="A58" t="s">
        <v>146</v>
      </c>
      <c r="B58" t="s">
        <v>33</v>
      </c>
      <c r="C58" t="s">
        <v>347</v>
      </c>
      <c r="D58" t="s">
        <v>59</v>
      </c>
      <c r="E58" s="8">
        <v>411960.78</v>
      </c>
      <c r="F58" s="3">
        <v>2.1600000000000001E-2</v>
      </c>
      <c r="G58" s="7">
        <v>6517.32</v>
      </c>
      <c r="H58" t="s">
        <v>24</v>
      </c>
      <c r="I58" s="9">
        <v>46197</v>
      </c>
      <c r="J58">
        <f t="shared" ca="1" si="0"/>
        <v>-22</v>
      </c>
    </row>
    <row r="59" spans="1:10">
      <c r="A59" t="s">
        <v>148</v>
      </c>
      <c r="B59" t="s">
        <v>10</v>
      </c>
      <c r="C59" t="s">
        <v>347</v>
      </c>
      <c r="D59" t="s">
        <v>23</v>
      </c>
      <c r="E59" s="8">
        <v>376136.48</v>
      </c>
      <c r="F59" s="3">
        <v>9.7799999999999998E-2</v>
      </c>
      <c r="G59" s="7">
        <v>28990.18</v>
      </c>
      <c r="H59" t="s">
        <v>28</v>
      </c>
      <c r="I59" s="9">
        <v>45966</v>
      </c>
      <c r="J59">
        <f t="shared" ca="1" si="0"/>
        <v>-253</v>
      </c>
    </row>
    <row r="60" spans="1:10">
      <c r="A60" t="s">
        <v>150</v>
      </c>
      <c r="B60" t="s">
        <v>10</v>
      </c>
      <c r="C60" t="s">
        <v>347</v>
      </c>
      <c r="D60" t="s">
        <v>34</v>
      </c>
      <c r="E60" s="8">
        <v>1733555.49</v>
      </c>
      <c r="F60" s="3">
        <v>9.35E-2</v>
      </c>
      <c r="G60" s="7">
        <v>157760.26999999999</v>
      </c>
      <c r="H60" t="s">
        <v>18</v>
      </c>
      <c r="I60" s="9">
        <v>45939</v>
      </c>
      <c r="J60">
        <f t="shared" ca="1" si="0"/>
        <v>-280</v>
      </c>
    </row>
    <row r="61" spans="1:10">
      <c r="A61" t="s">
        <v>151</v>
      </c>
      <c r="B61" t="s">
        <v>10</v>
      </c>
      <c r="C61" t="s">
        <v>348</v>
      </c>
      <c r="D61" t="s">
        <v>12</v>
      </c>
      <c r="E61" s="8">
        <v>2118879.65</v>
      </c>
      <c r="F61" s="3">
        <v>0.11310000000000001</v>
      </c>
      <c r="G61" s="7">
        <v>175049.46</v>
      </c>
      <c r="H61" t="s">
        <v>24</v>
      </c>
      <c r="I61" s="9">
        <v>46252</v>
      </c>
      <c r="J61">
        <f t="shared" ca="1" si="0"/>
        <v>33</v>
      </c>
    </row>
    <row r="62" spans="1:10">
      <c r="A62" t="s">
        <v>153</v>
      </c>
      <c r="B62" t="s">
        <v>10</v>
      </c>
      <c r="C62" t="s">
        <v>349</v>
      </c>
      <c r="D62" t="s">
        <v>34</v>
      </c>
      <c r="E62" s="8">
        <v>1886559.77</v>
      </c>
      <c r="F62" s="3">
        <v>9.7900000000000001E-2</v>
      </c>
      <c r="G62" s="7">
        <v>192171.13</v>
      </c>
      <c r="H62" t="s">
        <v>28</v>
      </c>
      <c r="I62" s="9">
        <v>46491</v>
      </c>
      <c r="J62">
        <f t="shared" ca="1" si="0"/>
        <v>272</v>
      </c>
    </row>
    <row r="63" spans="1:10">
      <c r="A63" t="s">
        <v>155</v>
      </c>
      <c r="B63" t="s">
        <v>16</v>
      </c>
      <c r="C63" t="s">
        <v>348</v>
      </c>
      <c r="D63" t="s">
        <v>59</v>
      </c>
      <c r="E63" s="8">
        <v>124656.77</v>
      </c>
      <c r="F63" s="3">
        <v>0.1275</v>
      </c>
      <c r="G63" s="7">
        <v>14273.51</v>
      </c>
      <c r="H63" t="s">
        <v>18</v>
      </c>
      <c r="I63" s="9">
        <v>46419</v>
      </c>
      <c r="J63">
        <f t="shared" ca="1" si="0"/>
        <v>200</v>
      </c>
    </row>
    <row r="64" spans="1:10">
      <c r="A64" t="s">
        <v>157</v>
      </c>
      <c r="B64" t="s">
        <v>21</v>
      </c>
      <c r="C64" t="s">
        <v>348</v>
      </c>
      <c r="D64" t="s">
        <v>23</v>
      </c>
      <c r="E64" s="8">
        <v>2174676.7000000002</v>
      </c>
      <c r="F64" s="3">
        <v>0.1447</v>
      </c>
      <c r="G64" s="7">
        <v>280764.57</v>
      </c>
      <c r="H64" t="s">
        <v>24</v>
      </c>
      <c r="I64" s="9">
        <v>45934</v>
      </c>
      <c r="J64">
        <f t="shared" ca="1" si="0"/>
        <v>-285</v>
      </c>
    </row>
    <row r="65" spans="1:10">
      <c r="A65" t="s">
        <v>159</v>
      </c>
      <c r="B65" t="s">
        <v>53</v>
      </c>
      <c r="C65" t="s">
        <v>345</v>
      </c>
      <c r="D65" t="s">
        <v>34</v>
      </c>
      <c r="E65" s="8">
        <v>917659.34</v>
      </c>
      <c r="F65" s="3">
        <v>6.4500000000000002E-2</v>
      </c>
      <c r="G65" s="7">
        <v>55457.94</v>
      </c>
      <c r="H65" t="s">
        <v>18</v>
      </c>
      <c r="I65" s="9">
        <v>46240</v>
      </c>
      <c r="J65">
        <f t="shared" ca="1" si="0"/>
        <v>21</v>
      </c>
    </row>
    <row r="66" spans="1:10">
      <c r="A66" t="s">
        <v>161</v>
      </c>
      <c r="B66" t="s">
        <v>74</v>
      </c>
      <c r="C66" t="s">
        <v>349</v>
      </c>
      <c r="D66" t="s">
        <v>59</v>
      </c>
      <c r="E66" s="8">
        <v>1023051.39</v>
      </c>
      <c r="F66" s="3">
        <v>4.9599999999999998E-2</v>
      </c>
      <c r="G66" s="7">
        <v>52259.17</v>
      </c>
      <c r="H66" t="s">
        <v>13</v>
      </c>
      <c r="I66" s="9">
        <v>46514</v>
      </c>
      <c r="J66">
        <f t="shared" ca="1" si="0"/>
        <v>295</v>
      </c>
    </row>
    <row r="67" spans="1:10">
      <c r="A67" t="s">
        <v>163</v>
      </c>
      <c r="B67" t="s">
        <v>10</v>
      </c>
      <c r="C67" t="s">
        <v>348</v>
      </c>
      <c r="D67" t="s">
        <v>34</v>
      </c>
      <c r="E67" s="8">
        <v>306929.46000000002</v>
      </c>
      <c r="F67" s="3">
        <v>7.51E-2</v>
      </c>
      <c r="G67" s="7">
        <v>19342.14</v>
      </c>
      <c r="H67" t="s">
        <v>13</v>
      </c>
      <c r="I67" s="9">
        <v>46138</v>
      </c>
      <c r="J67">
        <f t="shared" ref="J67:J130" ca="1" si="1">I67-$K$2</f>
        <v>-81</v>
      </c>
    </row>
    <row r="68" spans="1:10">
      <c r="A68" t="s">
        <v>165</v>
      </c>
      <c r="B68" t="s">
        <v>33</v>
      </c>
      <c r="C68" t="s">
        <v>347</v>
      </c>
      <c r="D68" t="s">
        <v>34</v>
      </c>
      <c r="E68" s="8">
        <v>1856642.75</v>
      </c>
      <c r="F68" s="3">
        <v>5.74E-2</v>
      </c>
      <c r="G68" s="7">
        <v>103502.73</v>
      </c>
      <c r="H68" t="s">
        <v>24</v>
      </c>
      <c r="I68" s="9">
        <v>46261</v>
      </c>
      <c r="J68">
        <f t="shared" ca="1" si="1"/>
        <v>42</v>
      </c>
    </row>
    <row r="69" spans="1:10">
      <c r="A69" t="s">
        <v>167</v>
      </c>
      <c r="B69" t="s">
        <v>10</v>
      </c>
      <c r="C69" t="s">
        <v>346</v>
      </c>
      <c r="D69" t="s">
        <v>59</v>
      </c>
      <c r="E69" s="8">
        <v>496595.5</v>
      </c>
      <c r="F69" s="3">
        <v>9.9900000000000003E-2</v>
      </c>
      <c r="G69" s="7">
        <v>45953.279999999999</v>
      </c>
      <c r="H69" t="s">
        <v>28</v>
      </c>
      <c r="I69" s="9">
        <v>46003</v>
      </c>
      <c r="J69">
        <f t="shared" ca="1" si="1"/>
        <v>-216</v>
      </c>
    </row>
    <row r="70" spans="1:10">
      <c r="A70" t="s">
        <v>169</v>
      </c>
      <c r="B70" t="s">
        <v>33</v>
      </c>
      <c r="C70" t="s">
        <v>349</v>
      </c>
      <c r="D70" t="s">
        <v>23</v>
      </c>
      <c r="E70" s="8">
        <v>1431714.48</v>
      </c>
      <c r="F70" s="3">
        <v>0.13850000000000001</v>
      </c>
      <c r="G70" s="7">
        <v>159984.6</v>
      </c>
      <c r="H70" t="s">
        <v>24</v>
      </c>
      <c r="I70" s="9">
        <v>46407</v>
      </c>
      <c r="J70">
        <f t="shared" ca="1" si="1"/>
        <v>188</v>
      </c>
    </row>
    <row r="71" spans="1:10">
      <c r="A71" t="s">
        <v>171</v>
      </c>
      <c r="B71" t="s">
        <v>53</v>
      </c>
      <c r="C71" t="s">
        <v>346</v>
      </c>
      <c r="D71" t="s">
        <v>351</v>
      </c>
      <c r="E71" s="8">
        <v>2109739.4700000002</v>
      </c>
      <c r="F71" s="3">
        <v>3.8100000000000002E-2</v>
      </c>
      <c r="G71" s="7">
        <v>84516.84</v>
      </c>
      <c r="H71" t="s">
        <v>18</v>
      </c>
      <c r="I71" s="9">
        <v>46296</v>
      </c>
      <c r="J71">
        <f t="shared" ca="1" si="1"/>
        <v>77</v>
      </c>
    </row>
    <row r="72" spans="1:10">
      <c r="A72" t="s">
        <v>173</v>
      </c>
      <c r="B72" t="s">
        <v>53</v>
      </c>
      <c r="C72" t="s">
        <v>348</v>
      </c>
      <c r="D72" t="s">
        <v>34</v>
      </c>
      <c r="E72" s="8">
        <v>268550.61</v>
      </c>
      <c r="F72" s="3">
        <v>3.3099999999999997E-2</v>
      </c>
      <c r="G72" s="7">
        <v>9057.65</v>
      </c>
      <c r="H72" t="s">
        <v>28</v>
      </c>
      <c r="I72" s="9">
        <v>46122</v>
      </c>
      <c r="J72">
        <f t="shared" ca="1" si="1"/>
        <v>-97</v>
      </c>
    </row>
    <row r="73" spans="1:10">
      <c r="A73" t="s">
        <v>175</v>
      </c>
      <c r="B73" t="s">
        <v>53</v>
      </c>
      <c r="C73" t="s">
        <v>348</v>
      </c>
      <c r="D73" t="s">
        <v>12</v>
      </c>
      <c r="E73" s="8">
        <v>1361572.13</v>
      </c>
      <c r="F73" s="3">
        <v>5.33E-2</v>
      </c>
      <c r="G73" s="7">
        <v>69914.27</v>
      </c>
      <c r="H73" t="s">
        <v>13</v>
      </c>
      <c r="I73" s="9">
        <v>46459</v>
      </c>
      <c r="J73">
        <f t="shared" ca="1" si="1"/>
        <v>240</v>
      </c>
    </row>
    <row r="74" spans="1:10">
      <c r="A74" t="s">
        <v>177</v>
      </c>
      <c r="B74" t="s">
        <v>33</v>
      </c>
      <c r="C74" t="s">
        <v>346</v>
      </c>
      <c r="D74" t="s">
        <v>351</v>
      </c>
      <c r="E74" s="8">
        <v>621380.21</v>
      </c>
      <c r="F74" s="3">
        <v>0.1144</v>
      </c>
      <c r="G74" s="7">
        <v>73945.87</v>
      </c>
      <c r="H74" t="s">
        <v>28</v>
      </c>
      <c r="I74" s="9">
        <v>46388</v>
      </c>
      <c r="J74">
        <f t="shared" ca="1" si="1"/>
        <v>169</v>
      </c>
    </row>
    <row r="75" spans="1:10">
      <c r="A75" t="s">
        <v>179</v>
      </c>
      <c r="B75" t="s">
        <v>10</v>
      </c>
      <c r="C75" t="s">
        <v>346</v>
      </c>
      <c r="D75" t="s">
        <v>23</v>
      </c>
      <c r="E75" s="8">
        <v>890170.82</v>
      </c>
      <c r="F75" s="3">
        <v>9.7100000000000006E-2</v>
      </c>
      <c r="G75" s="7">
        <v>90490.94</v>
      </c>
      <c r="H75" t="s">
        <v>13</v>
      </c>
      <c r="I75" s="9">
        <v>46011</v>
      </c>
      <c r="J75">
        <f t="shared" ca="1" si="1"/>
        <v>-208</v>
      </c>
    </row>
    <row r="76" spans="1:10">
      <c r="A76" t="s">
        <v>181</v>
      </c>
      <c r="B76" t="s">
        <v>53</v>
      </c>
      <c r="C76" t="s">
        <v>345</v>
      </c>
      <c r="D76" t="s">
        <v>12</v>
      </c>
      <c r="E76" s="8">
        <v>1211226.3600000001</v>
      </c>
      <c r="F76" s="3">
        <v>3.3300000000000003E-2</v>
      </c>
      <c r="G76" s="7">
        <v>39662.089999999997</v>
      </c>
      <c r="H76" t="s">
        <v>28</v>
      </c>
      <c r="I76" s="9">
        <v>46190</v>
      </c>
      <c r="J76">
        <f t="shared" ca="1" si="1"/>
        <v>-29</v>
      </c>
    </row>
    <row r="77" spans="1:10">
      <c r="A77" t="s">
        <v>182</v>
      </c>
      <c r="B77" t="s">
        <v>16</v>
      </c>
      <c r="C77" t="s">
        <v>347</v>
      </c>
      <c r="D77" t="s">
        <v>59</v>
      </c>
      <c r="E77" s="8">
        <v>920005.54</v>
      </c>
      <c r="F77" s="3">
        <v>0.1394</v>
      </c>
      <c r="G77" s="7">
        <v>132712.51</v>
      </c>
      <c r="H77" t="s">
        <v>28</v>
      </c>
      <c r="I77" s="9">
        <v>46493</v>
      </c>
      <c r="J77">
        <f t="shared" ca="1" si="1"/>
        <v>274</v>
      </c>
    </row>
    <row r="78" spans="1:10">
      <c r="A78" t="s">
        <v>184</v>
      </c>
      <c r="B78" t="s">
        <v>33</v>
      </c>
      <c r="C78" t="s">
        <v>349</v>
      </c>
      <c r="D78" t="s">
        <v>23</v>
      </c>
      <c r="E78" s="8">
        <v>1639615.96</v>
      </c>
      <c r="F78" s="3">
        <v>0.1227</v>
      </c>
      <c r="G78" s="7">
        <v>196953.78</v>
      </c>
      <c r="H78" t="s">
        <v>28</v>
      </c>
      <c r="I78" s="9">
        <v>46411</v>
      </c>
      <c r="J78">
        <f t="shared" ca="1" si="1"/>
        <v>192</v>
      </c>
    </row>
    <row r="79" spans="1:10">
      <c r="A79" t="s">
        <v>186</v>
      </c>
      <c r="B79" t="s">
        <v>33</v>
      </c>
      <c r="C79" t="s">
        <v>345</v>
      </c>
      <c r="D79" t="s">
        <v>34</v>
      </c>
      <c r="E79" s="8">
        <v>1224976.1499999999</v>
      </c>
      <c r="F79" s="3">
        <v>2.3E-2</v>
      </c>
      <c r="G79" s="7">
        <v>27387.15</v>
      </c>
      <c r="H79" t="s">
        <v>18</v>
      </c>
      <c r="I79" s="9">
        <v>46460</v>
      </c>
      <c r="J79">
        <f t="shared" ca="1" si="1"/>
        <v>241</v>
      </c>
    </row>
    <row r="80" spans="1:10">
      <c r="A80" t="s">
        <v>188</v>
      </c>
      <c r="B80" t="s">
        <v>10</v>
      </c>
      <c r="C80" t="s">
        <v>347</v>
      </c>
      <c r="D80" t="s">
        <v>34</v>
      </c>
      <c r="E80" s="8">
        <v>1481288.74</v>
      </c>
      <c r="F80" s="3">
        <v>0.1047</v>
      </c>
      <c r="G80" s="7">
        <v>146940.06</v>
      </c>
      <c r="H80" t="s">
        <v>18</v>
      </c>
      <c r="I80" s="9">
        <v>45969</v>
      </c>
      <c r="J80">
        <f t="shared" ca="1" si="1"/>
        <v>-250</v>
      </c>
    </row>
    <row r="81" spans="1:10">
      <c r="A81" t="s">
        <v>190</v>
      </c>
      <c r="B81" t="s">
        <v>33</v>
      </c>
      <c r="C81" t="s">
        <v>349</v>
      </c>
      <c r="D81" t="s">
        <v>351</v>
      </c>
      <c r="E81" s="8">
        <v>1855215.06</v>
      </c>
      <c r="F81" s="3">
        <v>0.1203</v>
      </c>
      <c r="G81" s="7">
        <v>223424.89</v>
      </c>
      <c r="H81" t="s">
        <v>24</v>
      </c>
      <c r="I81" s="9">
        <v>46210</v>
      </c>
      <c r="J81">
        <f t="shared" ca="1" si="1"/>
        <v>-9</v>
      </c>
    </row>
    <row r="82" spans="1:10">
      <c r="A82" t="s">
        <v>192</v>
      </c>
      <c r="B82" t="s">
        <v>33</v>
      </c>
      <c r="C82" t="s">
        <v>347</v>
      </c>
      <c r="D82" t="s">
        <v>23</v>
      </c>
      <c r="E82" s="8">
        <v>1416468.55</v>
      </c>
      <c r="F82" s="3">
        <v>6.8699999999999997E-2</v>
      </c>
      <c r="G82" s="7">
        <v>74291.61</v>
      </c>
      <c r="H82" t="s">
        <v>24</v>
      </c>
      <c r="I82" s="9">
        <v>45938</v>
      </c>
      <c r="J82">
        <f t="shared" ca="1" si="1"/>
        <v>-281</v>
      </c>
    </row>
    <row r="83" spans="1:10">
      <c r="A83" t="s">
        <v>194</v>
      </c>
      <c r="B83" t="s">
        <v>53</v>
      </c>
      <c r="C83" t="s">
        <v>345</v>
      </c>
      <c r="D83" t="s">
        <v>12</v>
      </c>
      <c r="E83" s="8">
        <v>1487011.81</v>
      </c>
      <c r="F83" s="3">
        <v>2.9000000000000001E-2</v>
      </c>
      <c r="G83" s="7">
        <v>45380.78</v>
      </c>
      <c r="H83" t="s">
        <v>13</v>
      </c>
      <c r="I83" s="9">
        <v>46323</v>
      </c>
      <c r="J83">
        <f t="shared" ca="1" si="1"/>
        <v>104</v>
      </c>
    </row>
    <row r="84" spans="1:10">
      <c r="A84" t="s">
        <v>195</v>
      </c>
      <c r="B84" t="s">
        <v>10</v>
      </c>
      <c r="C84" t="s">
        <v>348</v>
      </c>
      <c r="D84" t="s">
        <v>59</v>
      </c>
      <c r="E84" s="8">
        <v>1432923.43</v>
      </c>
      <c r="F84" s="3">
        <v>3.0099999999999998E-2</v>
      </c>
      <c r="G84" s="7">
        <v>45233.09</v>
      </c>
      <c r="H84" t="s">
        <v>18</v>
      </c>
      <c r="I84" s="9">
        <v>46008</v>
      </c>
      <c r="J84">
        <f t="shared" ca="1" si="1"/>
        <v>-211</v>
      </c>
    </row>
    <row r="85" spans="1:10">
      <c r="A85" t="s">
        <v>197</v>
      </c>
      <c r="B85" t="s">
        <v>53</v>
      </c>
      <c r="C85" t="s">
        <v>349</v>
      </c>
      <c r="D85" t="s">
        <v>12</v>
      </c>
      <c r="E85" s="8">
        <v>977992.93</v>
      </c>
      <c r="F85" s="3">
        <v>3.3599999999999998E-2</v>
      </c>
      <c r="G85" s="7">
        <v>23386.83</v>
      </c>
      <c r="H85" t="s">
        <v>13</v>
      </c>
      <c r="I85" s="9">
        <v>46172</v>
      </c>
      <c r="J85">
        <f t="shared" ca="1" si="1"/>
        <v>-47</v>
      </c>
    </row>
    <row r="86" spans="1:10">
      <c r="A86" t="s">
        <v>199</v>
      </c>
      <c r="B86" t="s">
        <v>53</v>
      </c>
      <c r="C86" t="s">
        <v>345</v>
      </c>
      <c r="D86" t="s">
        <v>12</v>
      </c>
      <c r="E86" s="8">
        <v>876744.74</v>
      </c>
      <c r="F86" s="3">
        <v>0.1293</v>
      </c>
      <c r="G86" s="7">
        <v>116801.02</v>
      </c>
      <c r="H86" t="s">
        <v>24</v>
      </c>
      <c r="I86" s="9">
        <v>46313</v>
      </c>
      <c r="J86">
        <f t="shared" ca="1" si="1"/>
        <v>94</v>
      </c>
    </row>
    <row r="87" spans="1:10">
      <c r="A87" t="s">
        <v>201</v>
      </c>
      <c r="B87" t="s">
        <v>10</v>
      </c>
      <c r="C87" t="s">
        <v>345</v>
      </c>
      <c r="D87" t="s">
        <v>351</v>
      </c>
      <c r="E87" s="8">
        <v>2254136.12</v>
      </c>
      <c r="F87" s="3">
        <v>0.1384</v>
      </c>
      <c r="G87" s="7">
        <v>234462.25</v>
      </c>
      <c r="H87" t="s">
        <v>13</v>
      </c>
      <c r="I87" s="9">
        <v>46257</v>
      </c>
      <c r="J87">
        <f t="shared" ca="1" si="1"/>
        <v>38</v>
      </c>
    </row>
    <row r="88" spans="1:10">
      <c r="A88" t="s">
        <v>203</v>
      </c>
      <c r="B88" t="s">
        <v>74</v>
      </c>
      <c r="C88" t="s">
        <v>347</v>
      </c>
      <c r="D88" t="s">
        <v>23</v>
      </c>
      <c r="E88" s="8">
        <v>1538510.29</v>
      </c>
      <c r="F88" s="3">
        <v>3.5999999999999997E-2</v>
      </c>
      <c r="G88" s="7">
        <v>46194.87</v>
      </c>
      <c r="H88" t="s">
        <v>24</v>
      </c>
      <c r="I88" s="9">
        <v>46441</v>
      </c>
      <c r="J88">
        <f t="shared" ca="1" si="1"/>
        <v>222</v>
      </c>
    </row>
    <row r="89" spans="1:10">
      <c r="A89" t="s">
        <v>205</v>
      </c>
      <c r="B89" t="s">
        <v>53</v>
      </c>
      <c r="C89" t="s">
        <v>345</v>
      </c>
      <c r="D89" t="s">
        <v>59</v>
      </c>
      <c r="E89" s="8">
        <v>648665.23</v>
      </c>
      <c r="F89" s="3">
        <v>5.0700000000000002E-2</v>
      </c>
      <c r="G89" s="7">
        <v>32801.93</v>
      </c>
      <c r="H89" t="s">
        <v>18</v>
      </c>
      <c r="I89" s="9">
        <v>46059</v>
      </c>
      <c r="J89">
        <f t="shared" ca="1" si="1"/>
        <v>-160</v>
      </c>
    </row>
    <row r="90" spans="1:10">
      <c r="A90" t="s">
        <v>207</v>
      </c>
      <c r="B90" t="s">
        <v>16</v>
      </c>
      <c r="C90" t="s">
        <v>349</v>
      </c>
      <c r="D90" t="s">
        <v>34</v>
      </c>
      <c r="E90" s="8">
        <v>1270706.8600000001</v>
      </c>
      <c r="F90" s="3">
        <v>4.1500000000000002E-2</v>
      </c>
      <c r="G90" s="7">
        <v>40305.06</v>
      </c>
      <c r="H90" t="s">
        <v>28</v>
      </c>
      <c r="I90" s="9">
        <v>46420</v>
      </c>
      <c r="J90">
        <f t="shared" ca="1" si="1"/>
        <v>201</v>
      </c>
    </row>
    <row r="91" spans="1:10">
      <c r="A91" t="s">
        <v>208</v>
      </c>
      <c r="B91" t="s">
        <v>16</v>
      </c>
      <c r="C91" t="s">
        <v>350</v>
      </c>
      <c r="D91" t="s">
        <v>12</v>
      </c>
      <c r="E91" s="8">
        <v>859353.78</v>
      </c>
      <c r="F91" s="3">
        <v>4.4200000000000003E-2</v>
      </c>
      <c r="G91" s="7">
        <v>39016.089999999997</v>
      </c>
      <c r="H91" t="s">
        <v>18</v>
      </c>
      <c r="I91" s="9">
        <v>46399</v>
      </c>
      <c r="J91">
        <f t="shared" ca="1" si="1"/>
        <v>180</v>
      </c>
    </row>
    <row r="92" spans="1:10">
      <c r="A92" t="s">
        <v>210</v>
      </c>
      <c r="B92" t="s">
        <v>33</v>
      </c>
      <c r="C92" t="s">
        <v>348</v>
      </c>
      <c r="D92" t="s">
        <v>59</v>
      </c>
      <c r="E92" s="8">
        <v>2337544.9700000002</v>
      </c>
      <c r="F92" s="3">
        <v>0.12889999999999999</v>
      </c>
      <c r="G92" s="7">
        <v>311208.67</v>
      </c>
      <c r="H92" t="s">
        <v>13</v>
      </c>
      <c r="I92" s="9">
        <v>46516</v>
      </c>
      <c r="J92">
        <f t="shared" ca="1" si="1"/>
        <v>297</v>
      </c>
    </row>
    <row r="93" spans="1:10">
      <c r="A93" t="s">
        <v>212</v>
      </c>
      <c r="B93" t="s">
        <v>16</v>
      </c>
      <c r="C93" t="s">
        <v>348</v>
      </c>
      <c r="D93" t="s">
        <v>12</v>
      </c>
      <c r="E93" s="8">
        <v>68459.19</v>
      </c>
      <c r="F93" s="3">
        <v>6.3200000000000006E-2</v>
      </c>
      <c r="G93" s="7">
        <v>3906.88</v>
      </c>
      <c r="H93" t="s">
        <v>13</v>
      </c>
      <c r="I93" s="9">
        <v>46145</v>
      </c>
      <c r="J93">
        <f t="shared" ca="1" si="1"/>
        <v>-74</v>
      </c>
    </row>
    <row r="94" spans="1:10">
      <c r="A94" t="s">
        <v>214</v>
      </c>
      <c r="B94" t="s">
        <v>33</v>
      </c>
      <c r="C94" t="s">
        <v>348</v>
      </c>
      <c r="D94" t="s">
        <v>351</v>
      </c>
      <c r="E94" s="8">
        <v>602065.35</v>
      </c>
      <c r="F94" s="3">
        <v>6.0499999999999998E-2</v>
      </c>
      <c r="G94" s="7">
        <v>25590.51</v>
      </c>
      <c r="H94" t="s">
        <v>18</v>
      </c>
      <c r="I94" s="9">
        <v>46294</v>
      </c>
      <c r="J94">
        <f t="shared" ca="1" si="1"/>
        <v>75</v>
      </c>
    </row>
    <row r="95" spans="1:10">
      <c r="A95" t="s">
        <v>216</v>
      </c>
      <c r="B95" t="s">
        <v>74</v>
      </c>
      <c r="C95" t="s">
        <v>346</v>
      </c>
      <c r="D95" t="s">
        <v>12</v>
      </c>
      <c r="E95" s="8">
        <v>945124.21</v>
      </c>
      <c r="F95" s="3">
        <v>4.9599999999999998E-2</v>
      </c>
      <c r="G95" s="7">
        <v>38197.040000000001</v>
      </c>
      <c r="H95" t="s">
        <v>18</v>
      </c>
      <c r="I95" s="9">
        <v>46324</v>
      </c>
      <c r="J95">
        <f t="shared" ca="1" si="1"/>
        <v>105</v>
      </c>
    </row>
    <row r="96" spans="1:10">
      <c r="A96" t="s">
        <v>218</v>
      </c>
      <c r="B96" t="s">
        <v>10</v>
      </c>
      <c r="C96" t="s">
        <v>350</v>
      </c>
      <c r="D96" t="s">
        <v>12</v>
      </c>
      <c r="E96" s="8">
        <v>1245134.01</v>
      </c>
      <c r="F96" s="3">
        <v>9.9000000000000005E-2</v>
      </c>
      <c r="G96" s="7">
        <v>116706.79</v>
      </c>
      <c r="H96" t="s">
        <v>24</v>
      </c>
      <c r="I96" s="9">
        <v>46365</v>
      </c>
      <c r="J96">
        <f t="shared" ca="1" si="1"/>
        <v>146</v>
      </c>
    </row>
    <row r="97" spans="1:10">
      <c r="A97" t="s">
        <v>220</v>
      </c>
      <c r="B97" t="s">
        <v>10</v>
      </c>
      <c r="C97" t="s">
        <v>349</v>
      </c>
      <c r="D97" t="s">
        <v>12</v>
      </c>
      <c r="E97" s="8">
        <v>2134502.92</v>
      </c>
      <c r="F97" s="3">
        <v>6.93E-2</v>
      </c>
      <c r="G97" s="7">
        <v>161599.97</v>
      </c>
      <c r="H97" t="s">
        <v>13</v>
      </c>
      <c r="I97" s="9">
        <v>46412</v>
      </c>
      <c r="J97">
        <f t="shared" ca="1" si="1"/>
        <v>193</v>
      </c>
    </row>
    <row r="98" spans="1:10">
      <c r="A98" t="s">
        <v>222</v>
      </c>
      <c r="B98" t="s">
        <v>10</v>
      </c>
      <c r="C98" t="s">
        <v>348</v>
      </c>
      <c r="D98" t="s">
        <v>34</v>
      </c>
      <c r="E98" s="8">
        <v>265324.68</v>
      </c>
      <c r="F98" s="3">
        <v>0.1168</v>
      </c>
      <c r="G98" s="7">
        <v>29524.89</v>
      </c>
      <c r="H98" t="s">
        <v>13</v>
      </c>
      <c r="I98" s="9">
        <v>46195</v>
      </c>
      <c r="J98">
        <f t="shared" ca="1" si="1"/>
        <v>-24</v>
      </c>
    </row>
    <row r="99" spans="1:10">
      <c r="A99" t="s">
        <v>224</v>
      </c>
      <c r="B99" t="s">
        <v>16</v>
      </c>
      <c r="C99" t="s">
        <v>345</v>
      </c>
      <c r="D99" t="s">
        <v>12</v>
      </c>
      <c r="E99" s="8">
        <v>2024368.97</v>
      </c>
      <c r="F99" s="3">
        <v>4.6699999999999998E-2</v>
      </c>
      <c r="G99" s="7">
        <v>76001.149999999994</v>
      </c>
      <c r="H99" t="s">
        <v>18</v>
      </c>
      <c r="I99" s="9">
        <v>46448</v>
      </c>
      <c r="J99">
        <f t="shared" ca="1" si="1"/>
        <v>229</v>
      </c>
    </row>
    <row r="100" spans="1:10">
      <c r="A100" t="s">
        <v>226</v>
      </c>
      <c r="B100" t="s">
        <v>74</v>
      </c>
      <c r="C100" t="s">
        <v>350</v>
      </c>
      <c r="D100" t="s">
        <v>351</v>
      </c>
      <c r="E100" s="8">
        <v>186351.05</v>
      </c>
      <c r="F100" s="3">
        <v>0.12239999999999999</v>
      </c>
      <c r="G100" s="7">
        <v>21751.07</v>
      </c>
      <c r="H100" t="s">
        <v>28</v>
      </c>
      <c r="I100" s="9">
        <v>46081</v>
      </c>
      <c r="J100">
        <f t="shared" ca="1" si="1"/>
        <v>-138</v>
      </c>
    </row>
    <row r="101" spans="1:10">
      <c r="A101" t="s">
        <v>228</v>
      </c>
      <c r="B101" t="s">
        <v>16</v>
      </c>
      <c r="C101" t="s">
        <v>349</v>
      </c>
      <c r="D101" t="s">
        <v>12</v>
      </c>
      <c r="E101" s="8">
        <v>2113669.39</v>
      </c>
      <c r="F101" s="3">
        <v>9.8500000000000004E-2</v>
      </c>
      <c r="G101" s="7">
        <v>190706.72</v>
      </c>
      <c r="H101" t="s">
        <v>13</v>
      </c>
      <c r="I101" s="9">
        <v>46074</v>
      </c>
      <c r="J101">
        <f t="shared" ca="1" si="1"/>
        <v>-145</v>
      </c>
    </row>
    <row r="102" spans="1:10">
      <c r="A102" t="s">
        <v>230</v>
      </c>
      <c r="B102" t="s">
        <v>16</v>
      </c>
      <c r="C102" t="s">
        <v>347</v>
      </c>
      <c r="D102" t="s">
        <v>59</v>
      </c>
      <c r="E102" s="8">
        <v>176506.92</v>
      </c>
      <c r="F102" s="3">
        <v>3.49E-2</v>
      </c>
      <c r="G102" s="7">
        <v>6233.63</v>
      </c>
      <c r="H102" t="s">
        <v>28</v>
      </c>
      <c r="I102" s="9">
        <v>46110</v>
      </c>
      <c r="J102">
        <f t="shared" ca="1" si="1"/>
        <v>-109</v>
      </c>
    </row>
    <row r="103" spans="1:10">
      <c r="A103" t="s">
        <v>232</v>
      </c>
      <c r="B103" t="s">
        <v>74</v>
      </c>
      <c r="C103" t="s">
        <v>349</v>
      </c>
      <c r="D103" t="s">
        <v>23</v>
      </c>
      <c r="E103" s="8">
        <v>94694.080000000002</v>
      </c>
      <c r="F103" s="3">
        <v>7.3899999999999993E-2</v>
      </c>
      <c r="G103" s="7">
        <v>5197.9799999999996</v>
      </c>
      <c r="H103" t="s">
        <v>18</v>
      </c>
      <c r="I103" s="9">
        <v>46020</v>
      </c>
      <c r="J103">
        <f t="shared" ca="1" si="1"/>
        <v>-199</v>
      </c>
    </row>
    <row r="104" spans="1:10">
      <c r="A104" t="s">
        <v>233</v>
      </c>
      <c r="B104" t="s">
        <v>74</v>
      </c>
      <c r="C104" t="s">
        <v>347</v>
      </c>
      <c r="D104" t="s">
        <v>23</v>
      </c>
      <c r="E104" s="8">
        <v>1757555.58</v>
      </c>
      <c r="F104" s="3">
        <v>0.1323</v>
      </c>
      <c r="G104" s="7">
        <v>233550.31</v>
      </c>
      <c r="H104" t="s">
        <v>18</v>
      </c>
      <c r="I104" s="9">
        <v>46053</v>
      </c>
      <c r="J104">
        <f t="shared" ca="1" si="1"/>
        <v>-166</v>
      </c>
    </row>
    <row r="105" spans="1:10">
      <c r="A105" t="s">
        <v>234</v>
      </c>
      <c r="B105" t="s">
        <v>74</v>
      </c>
      <c r="C105" t="s">
        <v>348</v>
      </c>
      <c r="D105" t="s">
        <v>23</v>
      </c>
      <c r="E105" s="8">
        <v>2493276.06</v>
      </c>
      <c r="F105" s="3">
        <v>0.14000000000000001</v>
      </c>
      <c r="G105" s="7">
        <v>319914.57</v>
      </c>
      <c r="H105" t="s">
        <v>24</v>
      </c>
      <c r="I105" s="9">
        <v>46093</v>
      </c>
      <c r="J105">
        <f t="shared" ca="1" si="1"/>
        <v>-126</v>
      </c>
    </row>
    <row r="106" spans="1:10">
      <c r="A106" t="s">
        <v>236</v>
      </c>
      <c r="B106" t="s">
        <v>74</v>
      </c>
      <c r="C106" t="s">
        <v>347</v>
      </c>
      <c r="D106" t="s">
        <v>59</v>
      </c>
      <c r="E106" s="8">
        <v>2246695.14</v>
      </c>
      <c r="F106" s="3">
        <v>8.0500000000000002E-2</v>
      </c>
      <c r="G106" s="7">
        <v>196267.56</v>
      </c>
      <c r="H106" t="s">
        <v>13</v>
      </c>
      <c r="I106" s="9">
        <v>46105</v>
      </c>
      <c r="J106">
        <f t="shared" ca="1" si="1"/>
        <v>-114</v>
      </c>
    </row>
    <row r="107" spans="1:10">
      <c r="A107" t="s">
        <v>238</v>
      </c>
      <c r="B107" t="s">
        <v>10</v>
      </c>
      <c r="C107" t="s">
        <v>347</v>
      </c>
      <c r="D107" t="s">
        <v>34</v>
      </c>
      <c r="E107" s="8">
        <v>1461196.12</v>
      </c>
      <c r="F107" s="3">
        <v>8.2500000000000004E-2</v>
      </c>
      <c r="G107" s="7">
        <v>100868.97</v>
      </c>
      <c r="H107" t="s">
        <v>28</v>
      </c>
      <c r="I107" s="9">
        <v>46286</v>
      </c>
      <c r="J107">
        <f t="shared" ca="1" si="1"/>
        <v>67</v>
      </c>
    </row>
    <row r="108" spans="1:10">
      <c r="A108" t="s">
        <v>240</v>
      </c>
      <c r="B108" t="s">
        <v>21</v>
      </c>
      <c r="C108" t="s">
        <v>348</v>
      </c>
      <c r="D108" t="s">
        <v>23</v>
      </c>
      <c r="E108" s="8">
        <v>2297619.25</v>
      </c>
      <c r="F108" s="3">
        <v>0.1394</v>
      </c>
      <c r="G108" s="7">
        <v>305250.2</v>
      </c>
      <c r="H108" t="s">
        <v>24</v>
      </c>
      <c r="I108" s="9">
        <v>45961</v>
      </c>
      <c r="J108">
        <f t="shared" ca="1" si="1"/>
        <v>-258</v>
      </c>
    </row>
    <row r="109" spans="1:10">
      <c r="A109" t="s">
        <v>241</v>
      </c>
      <c r="B109" t="s">
        <v>21</v>
      </c>
      <c r="C109" t="s">
        <v>350</v>
      </c>
      <c r="D109" t="s">
        <v>34</v>
      </c>
      <c r="E109" s="8">
        <v>62985.02</v>
      </c>
      <c r="F109" s="3">
        <v>9.6299999999999997E-2</v>
      </c>
      <c r="G109" s="7">
        <v>6507.09</v>
      </c>
      <c r="H109" t="s">
        <v>13</v>
      </c>
      <c r="I109" s="9">
        <v>46449</v>
      </c>
      <c r="J109">
        <f t="shared" ca="1" si="1"/>
        <v>230</v>
      </c>
    </row>
    <row r="110" spans="1:10">
      <c r="A110" t="s">
        <v>243</v>
      </c>
      <c r="B110" t="s">
        <v>74</v>
      </c>
      <c r="C110" t="s">
        <v>345</v>
      </c>
      <c r="D110" t="s">
        <v>351</v>
      </c>
      <c r="E110" s="8">
        <v>2438914.5499999998</v>
      </c>
      <c r="F110" s="3">
        <v>2.4299999999999999E-2</v>
      </c>
      <c r="G110" s="7">
        <v>43916.06</v>
      </c>
      <c r="H110" t="s">
        <v>24</v>
      </c>
      <c r="I110" s="9">
        <v>46419</v>
      </c>
      <c r="J110">
        <f t="shared" ca="1" si="1"/>
        <v>200</v>
      </c>
    </row>
    <row r="111" spans="1:10">
      <c r="A111" t="s">
        <v>244</v>
      </c>
      <c r="B111" t="s">
        <v>21</v>
      </c>
      <c r="C111" t="s">
        <v>350</v>
      </c>
      <c r="D111" t="s">
        <v>59</v>
      </c>
      <c r="E111" s="8">
        <v>1252334.51</v>
      </c>
      <c r="F111" s="3">
        <v>0.13869999999999999</v>
      </c>
      <c r="G111" s="7">
        <v>186707.34</v>
      </c>
      <c r="H111" t="s">
        <v>18</v>
      </c>
      <c r="I111" s="9">
        <v>46438</v>
      </c>
      <c r="J111">
        <f t="shared" ca="1" si="1"/>
        <v>219</v>
      </c>
    </row>
    <row r="112" spans="1:10">
      <c r="A112" t="s">
        <v>246</v>
      </c>
      <c r="B112" t="s">
        <v>21</v>
      </c>
      <c r="C112" t="s">
        <v>347</v>
      </c>
      <c r="D112" t="s">
        <v>351</v>
      </c>
      <c r="E112" s="8">
        <v>1821095.44</v>
      </c>
      <c r="F112" s="3">
        <v>5.2299999999999999E-2</v>
      </c>
      <c r="G112" s="7">
        <v>92876.9</v>
      </c>
      <c r="H112" t="s">
        <v>13</v>
      </c>
      <c r="I112" s="9">
        <v>46271</v>
      </c>
      <c r="J112">
        <f t="shared" ca="1" si="1"/>
        <v>52</v>
      </c>
    </row>
    <row r="113" spans="1:10">
      <c r="A113" t="s">
        <v>248</v>
      </c>
      <c r="B113" t="s">
        <v>74</v>
      </c>
      <c r="C113" t="s">
        <v>348</v>
      </c>
      <c r="D113" t="s">
        <v>351</v>
      </c>
      <c r="E113" s="8">
        <v>2061110.61</v>
      </c>
      <c r="F113" s="3">
        <v>9.5100000000000004E-2</v>
      </c>
      <c r="G113" s="7">
        <v>142526.87</v>
      </c>
      <c r="H113" t="s">
        <v>24</v>
      </c>
      <c r="I113" s="9">
        <v>46319</v>
      </c>
      <c r="J113">
        <f t="shared" ca="1" si="1"/>
        <v>100</v>
      </c>
    </row>
    <row r="114" spans="1:10">
      <c r="A114" t="s">
        <v>250</v>
      </c>
      <c r="B114" t="s">
        <v>21</v>
      </c>
      <c r="C114" t="s">
        <v>345</v>
      </c>
      <c r="D114" t="s">
        <v>23</v>
      </c>
      <c r="E114" s="8">
        <v>1810220.31</v>
      </c>
      <c r="F114" s="3">
        <v>4.1500000000000002E-2</v>
      </c>
      <c r="G114" s="7">
        <v>61630.75</v>
      </c>
      <c r="H114" t="s">
        <v>24</v>
      </c>
      <c r="I114" s="9">
        <v>46083</v>
      </c>
      <c r="J114">
        <f t="shared" ca="1" si="1"/>
        <v>-136</v>
      </c>
    </row>
    <row r="115" spans="1:10">
      <c r="A115" t="s">
        <v>252</v>
      </c>
      <c r="B115" t="s">
        <v>16</v>
      </c>
      <c r="C115" t="s">
        <v>345</v>
      </c>
      <c r="D115" t="s">
        <v>59</v>
      </c>
      <c r="E115" s="8">
        <v>1360839.99</v>
      </c>
      <c r="F115" s="3">
        <v>2.4400000000000002E-2</v>
      </c>
      <c r="G115" s="7">
        <v>32648.95</v>
      </c>
      <c r="H115" t="s">
        <v>28</v>
      </c>
      <c r="I115" s="9">
        <v>45938</v>
      </c>
      <c r="J115">
        <f t="shared" ca="1" si="1"/>
        <v>-281</v>
      </c>
    </row>
    <row r="116" spans="1:10">
      <c r="A116" t="s">
        <v>253</v>
      </c>
      <c r="B116" t="s">
        <v>33</v>
      </c>
      <c r="C116" t="s">
        <v>347</v>
      </c>
      <c r="D116" t="s">
        <v>23</v>
      </c>
      <c r="E116" s="8">
        <v>1217717.74</v>
      </c>
      <c r="F116" s="3">
        <v>6.0499999999999998E-2</v>
      </c>
      <c r="G116" s="7">
        <v>53555.09</v>
      </c>
      <c r="H116" t="s">
        <v>24</v>
      </c>
      <c r="I116" s="9">
        <v>46415</v>
      </c>
      <c r="J116">
        <f t="shared" ca="1" si="1"/>
        <v>196</v>
      </c>
    </row>
    <row r="117" spans="1:10">
      <c r="A117" t="s">
        <v>255</v>
      </c>
      <c r="B117" t="s">
        <v>33</v>
      </c>
      <c r="C117" t="s">
        <v>347</v>
      </c>
      <c r="D117" t="s">
        <v>23</v>
      </c>
      <c r="E117" s="8">
        <v>2104527.27</v>
      </c>
      <c r="F117" s="3">
        <v>0.1215</v>
      </c>
      <c r="G117" s="7">
        <v>238534.45</v>
      </c>
      <c r="H117" t="s">
        <v>13</v>
      </c>
      <c r="I117" s="9">
        <v>46348</v>
      </c>
      <c r="J117">
        <f t="shared" ca="1" si="1"/>
        <v>129</v>
      </c>
    </row>
    <row r="118" spans="1:10">
      <c r="A118" t="s">
        <v>257</v>
      </c>
      <c r="B118" t="s">
        <v>74</v>
      </c>
      <c r="C118" t="s">
        <v>347</v>
      </c>
      <c r="D118" t="s">
        <v>59</v>
      </c>
      <c r="E118" s="8">
        <v>552440.02</v>
      </c>
      <c r="F118" s="3">
        <v>5.6099999999999997E-2</v>
      </c>
      <c r="G118" s="7">
        <v>25982.15</v>
      </c>
      <c r="H118" t="s">
        <v>13</v>
      </c>
      <c r="I118" s="9">
        <v>46030</v>
      </c>
      <c r="J118">
        <f t="shared" ca="1" si="1"/>
        <v>-189</v>
      </c>
    </row>
    <row r="119" spans="1:10">
      <c r="A119" t="s">
        <v>258</v>
      </c>
      <c r="B119" t="s">
        <v>10</v>
      </c>
      <c r="C119" t="s">
        <v>346</v>
      </c>
      <c r="D119" t="s">
        <v>23</v>
      </c>
      <c r="E119" s="8">
        <v>2421585.46</v>
      </c>
      <c r="F119" s="3">
        <v>4.8599999999999997E-2</v>
      </c>
      <c r="G119" s="7">
        <v>111612.32</v>
      </c>
      <c r="H119" t="s">
        <v>28</v>
      </c>
      <c r="I119" s="9">
        <v>46372</v>
      </c>
      <c r="J119">
        <f t="shared" ca="1" si="1"/>
        <v>153</v>
      </c>
    </row>
    <row r="120" spans="1:10">
      <c r="A120" t="s">
        <v>259</v>
      </c>
      <c r="B120" t="s">
        <v>74</v>
      </c>
      <c r="C120" t="s">
        <v>347</v>
      </c>
      <c r="D120" t="s">
        <v>59</v>
      </c>
      <c r="E120" s="8">
        <v>1791833.57</v>
      </c>
      <c r="F120" s="3">
        <v>4.7600000000000003E-2</v>
      </c>
      <c r="G120" s="7">
        <v>61264.45</v>
      </c>
      <c r="H120" t="s">
        <v>13</v>
      </c>
      <c r="I120" s="9">
        <v>46233</v>
      </c>
      <c r="J120">
        <f t="shared" ca="1" si="1"/>
        <v>14</v>
      </c>
    </row>
    <row r="121" spans="1:10">
      <c r="A121" t="s">
        <v>261</v>
      </c>
      <c r="B121" t="s">
        <v>10</v>
      </c>
      <c r="C121" t="s">
        <v>350</v>
      </c>
      <c r="D121" t="s">
        <v>23</v>
      </c>
      <c r="E121" s="8">
        <v>538791.97</v>
      </c>
      <c r="F121" s="3">
        <v>8.6999999999999994E-2</v>
      </c>
      <c r="G121" s="7">
        <v>49153.71</v>
      </c>
      <c r="H121" t="s">
        <v>18</v>
      </c>
      <c r="I121" s="9">
        <v>46092</v>
      </c>
      <c r="J121">
        <f t="shared" ca="1" si="1"/>
        <v>-127</v>
      </c>
    </row>
    <row r="122" spans="1:10">
      <c r="A122" t="s">
        <v>263</v>
      </c>
      <c r="B122" t="s">
        <v>33</v>
      </c>
      <c r="C122" t="s">
        <v>348</v>
      </c>
      <c r="D122" t="s">
        <v>351</v>
      </c>
      <c r="E122" s="8">
        <v>1853805.6</v>
      </c>
      <c r="F122" s="3">
        <v>0.14680000000000001</v>
      </c>
      <c r="G122" s="7">
        <v>296466.65999999997</v>
      </c>
      <c r="H122" t="s">
        <v>13</v>
      </c>
      <c r="I122" s="9">
        <v>46468</v>
      </c>
      <c r="J122">
        <f t="shared" ca="1" si="1"/>
        <v>249</v>
      </c>
    </row>
    <row r="123" spans="1:10">
      <c r="A123" t="s">
        <v>265</v>
      </c>
      <c r="B123" t="s">
        <v>74</v>
      </c>
      <c r="C123" t="s">
        <v>346</v>
      </c>
      <c r="D123" t="s">
        <v>23</v>
      </c>
      <c r="E123" s="8">
        <v>1348108.06</v>
      </c>
      <c r="F123" s="3">
        <v>7.9699999999999993E-2</v>
      </c>
      <c r="G123" s="7">
        <v>116851.08</v>
      </c>
      <c r="H123" t="s">
        <v>13</v>
      </c>
      <c r="I123" s="9">
        <v>46336</v>
      </c>
      <c r="J123">
        <f t="shared" ca="1" si="1"/>
        <v>117</v>
      </c>
    </row>
    <row r="124" spans="1:10">
      <c r="A124" t="s">
        <v>267</v>
      </c>
      <c r="B124" t="s">
        <v>53</v>
      </c>
      <c r="C124" t="s">
        <v>350</v>
      </c>
      <c r="D124" t="s">
        <v>23</v>
      </c>
      <c r="E124" s="8">
        <v>1782713.73</v>
      </c>
      <c r="F124" s="3">
        <v>9.2399999999999996E-2</v>
      </c>
      <c r="G124" s="7">
        <v>164699.81</v>
      </c>
      <c r="H124" t="s">
        <v>24</v>
      </c>
      <c r="I124" s="9">
        <v>46173</v>
      </c>
      <c r="J124">
        <f t="shared" ca="1" si="1"/>
        <v>-46</v>
      </c>
    </row>
    <row r="125" spans="1:10">
      <c r="A125" t="s">
        <v>269</v>
      </c>
      <c r="B125" t="s">
        <v>16</v>
      </c>
      <c r="C125" t="s">
        <v>345</v>
      </c>
      <c r="D125" t="s">
        <v>23</v>
      </c>
      <c r="E125" s="8">
        <v>1931059.78</v>
      </c>
      <c r="F125" s="3">
        <v>0.13189999999999999</v>
      </c>
      <c r="G125" s="7">
        <v>191548.29</v>
      </c>
      <c r="H125" t="s">
        <v>24</v>
      </c>
      <c r="I125" s="9">
        <v>46063</v>
      </c>
      <c r="J125">
        <f t="shared" ca="1" si="1"/>
        <v>-156</v>
      </c>
    </row>
    <row r="126" spans="1:10">
      <c r="A126" t="s">
        <v>271</v>
      </c>
      <c r="B126" t="s">
        <v>21</v>
      </c>
      <c r="C126" t="s">
        <v>349</v>
      </c>
      <c r="D126" t="s">
        <v>23</v>
      </c>
      <c r="E126" s="8">
        <v>263860.94</v>
      </c>
      <c r="F126" s="3">
        <v>8.9599999999999999E-2</v>
      </c>
      <c r="G126" s="7">
        <v>23720.080000000002</v>
      </c>
      <c r="H126" t="s">
        <v>13</v>
      </c>
      <c r="I126" s="9">
        <v>46196</v>
      </c>
      <c r="J126">
        <f t="shared" ca="1" si="1"/>
        <v>-23</v>
      </c>
    </row>
    <row r="127" spans="1:10">
      <c r="A127" t="s">
        <v>273</v>
      </c>
      <c r="B127" t="s">
        <v>10</v>
      </c>
      <c r="C127" t="s">
        <v>349</v>
      </c>
      <c r="D127" t="s">
        <v>34</v>
      </c>
      <c r="E127" s="8">
        <v>1289954.69</v>
      </c>
      <c r="F127" s="3">
        <v>4.3999999999999997E-2</v>
      </c>
      <c r="G127" s="7">
        <v>40288.81</v>
      </c>
      <c r="H127" t="s">
        <v>28</v>
      </c>
      <c r="I127" s="9">
        <v>46338</v>
      </c>
      <c r="J127">
        <f t="shared" ca="1" si="1"/>
        <v>119</v>
      </c>
    </row>
    <row r="128" spans="1:10">
      <c r="A128" t="s">
        <v>275</v>
      </c>
      <c r="B128" t="s">
        <v>53</v>
      </c>
      <c r="C128" t="s">
        <v>349</v>
      </c>
      <c r="D128" t="s">
        <v>23</v>
      </c>
      <c r="E128" s="8">
        <v>2333435.14</v>
      </c>
      <c r="F128" s="3">
        <v>5.8900000000000001E-2</v>
      </c>
      <c r="G128" s="7">
        <v>97423.79</v>
      </c>
      <c r="H128" t="s">
        <v>24</v>
      </c>
      <c r="I128" s="9">
        <v>45961</v>
      </c>
      <c r="J128">
        <f t="shared" ca="1" si="1"/>
        <v>-258</v>
      </c>
    </row>
    <row r="129" spans="1:10">
      <c r="A129" t="s">
        <v>276</v>
      </c>
      <c r="B129" t="s">
        <v>21</v>
      </c>
      <c r="C129" t="s">
        <v>348</v>
      </c>
      <c r="D129" t="s">
        <v>34</v>
      </c>
      <c r="E129" s="8">
        <v>835573.37</v>
      </c>
      <c r="F129" s="3">
        <v>6.0299999999999999E-2</v>
      </c>
      <c r="G129" s="7">
        <v>41791.599999999999</v>
      </c>
      <c r="H129" t="s">
        <v>28</v>
      </c>
      <c r="I129" s="9">
        <v>45951</v>
      </c>
      <c r="J129">
        <f t="shared" ca="1" si="1"/>
        <v>-268</v>
      </c>
    </row>
    <row r="130" spans="1:10">
      <c r="A130" t="s">
        <v>277</v>
      </c>
      <c r="B130" t="s">
        <v>21</v>
      </c>
      <c r="C130" t="s">
        <v>349</v>
      </c>
      <c r="D130" t="s">
        <v>23</v>
      </c>
      <c r="E130" s="8">
        <v>1505013.59</v>
      </c>
      <c r="F130" s="3">
        <v>7.17E-2</v>
      </c>
      <c r="G130" s="7">
        <v>96628.32</v>
      </c>
      <c r="H130" t="s">
        <v>13</v>
      </c>
      <c r="I130" s="9">
        <v>46399</v>
      </c>
      <c r="J130">
        <f t="shared" ca="1" si="1"/>
        <v>180</v>
      </c>
    </row>
    <row r="131" spans="1:10">
      <c r="A131" t="s">
        <v>278</v>
      </c>
      <c r="B131" t="s">
        <v>74</v>
      </c>
      <c r="C131" t="s">
        <v>345</v>
      </c>
      <c r="D131" t="s">
        <v>34</v>
      </c>
      <c r="E131" s="8">
        <v>954614.68</v>
      </c>
      <c r="F131" s="3">
        <v>7.5499999999999998E-2</v>
      </c>
      <c r="G131" s="7">
        <v>72661.740000000005</v>
      </c>
      <c r="H131" t="s">
        <v>13</v>
      </c>
      <c r="I131" s="9">
        <v>46240</v>
      </c>
      <c r="J131">
        <f t="shared" ref="J131:J151" ca="1" si="2">I131-$K$2</f>
        <v>21</v>
      </c>
    </row>
    <row r="132" spans="1:10">
      <c r="A132" t="s">
        <v>279</v>
      </c>
      <c r="B132" t="s">
        <v>21</v>
      </c>
      <c r="C132" t="s">
        <v>345</v>
      </c>
      <c r="D132" t="s">
        <v>12</v>
      </c>
      <c r="E132" s="8">
        <v>1162956.53</v>
      </c>
      <c r="F132" s="3">
        <v>0.124</v>
      </c>
      <c r="G132" s="7">
        <v>140358.91</v>
      </c>
      <c r="H132" t="s">
        <v>18</v>
      </c>
      <c r="I132" s="9">
        <v>46167</v>
      </c>
      <c r="J132">
        <f t="shared" ca="1" si="2"/>
        <v>-52</v>
      </c>
    </row>
    <row r="133" spans="1:10">
      <c r="A133" t="s">
        <v>281</v>
      </c>
      <c r="B133" t="s">
        <v>16</v>
      </c>
      <c r="C133" t="s">
        <v>345</v>
      </c>
      <c r="D133" t="s">
        <v>12</v>
      </c>
      <c r="E133" s="8">
        <v>1394077.64</v>
      </c>
      <c r="F133" s="3">
        <v>6.54E-2</v>
      </c>
      <c r="G133" s="7">
        <v>80082.53</v>
      </c>
      <c r="H133" t="s">
        <v>24</v>
      </c>
      <c r="I133" s="9">
        <v>46194</v>
      </c>
      <c r="J133">
        <f t="shared" ca="1" si="2"/>
        <v>-25</v>
      </c>
    </row>
    <row r="134" spans="1:10">
      <c r="A134" t="s">
        <v>283</v>
      </c>
      <c r="B134" t="s">
        <v>53</v>
      </c>
      <c r="C134" t="s">
        <v>346</v>
      </c>
      <c r="D134" t="s">
        <v>59</v>
      </c>
      <c r="E134" s="8">
        <v>1394858.85</v>
      </c>
      <c r="F134" s="3">
        <v>8.09E-2</v>
      </c>
      <c r="G134" s="7">
        <v>91341.72</v>
      </c>
      <c r="H134" t="s">
        <v>13</v>
      </c>
      <c r="I134" s="9">
        <v>46362</v>
      </c>
      <c r="J134">
        <f t="shared" ca="1" si="2"/>
        <v>143</v>
      </c>
    </row>
    <row r="135" spans="1:10">
      <c r="A135" t="s">
        <v>285</v>
      </c>
      <c r="B135" t="s">
        <v>21</v>
      </c>
      <c r="C135" t="s">
        <v>346</v>
      </c>
      <c r="D135" t="s">
        <v>34</v>
      </c>
      <c r="E135" s="8">
        <v>544239.63</v>
      </c>
      <c r="F135" s="3">
        <v>0.1012</v>
      </c>
      <c r="G135" s="7">
        <v>60521.41</v>
      </c>
      <c r="H135" t="s">
        <v>18</v>
      </c>
      <c r="I135" s="9">
        <v>46161</v>
      </c>
      <c r="J135">
        <f t="shared" ca="1" si="2"/>
        <v>-58</v>
      </c>
    </row>
    <row r="136" spans="1:10">
      <c r="A136" t="s">
        <v>287</v>
      </c>
      <c r="B136" t="s">
        <v>74</v>
      </c>
      <c r="C136" t="s">
        <v>349</v>
      </c>
      <c r="D136" t="s">
        <v>59</v>
      </c>
      <c r="E136" s="8">
        <v>1727200.29</v>
      </c>
      <c r="F136" s="3">
        <v>6.9099999999999995E-2</v>
      </c>
      <c r="G136" s="7">
        <v>103890.49</v>
      </c>
      <c r="H136" t="s">
        <v>24</v>
      </c>
      <c r="I136" s="9">
        <v>46299</v>
      </c>
      <c r="J136">
        <f t="shared" ca="1" si="2"/>
        <v>80</v>
      </c>
    </row>
    <row r="137" spans="1:10">
      <c r="A137" t="s">
        <v>289</v>
      </c>
      <c r="B137" t="s">
        <v>16</v>
      </c>
      <c r="C137" t="s">
        <v>347</v>
      </c>
      <c r="D137" t="s">
        <v>12</v>
      </c>
      <c r="E137" s="8">
        <v>265276.87</v>
      </c>
      <c r="F137" s="3">
        <v>0.1288</v>
      </c>
      <c r="G137" s="7">
        <v>30086.5</v>
      </c>
      <c r="H137" t="s">
        <v>13</v>
      </c>
      <c r="I137" s="9">
        <v>46188</v>
      </c>
      <c r="J137">
        <f t="shared" ca="1" si="2"/>
        <v>-31</v>
      </c>
    </row>
    <row r="138" spans="1:10">
      <c r="A138" t="s">
        <v>291</v>
      </c>
      <c r="B138" t="s">
        <v>33</v>
      </c>
      <c r="C138" t="s">
        <v>349</v>
      </c>
      <c r="D138" t="s">
        <v>12</v>
      </c>
      <c r="E138" s="8">
        <v>390120.69</v>
      </c>
      <c r="F138" s="3">
        <v>9.64E-2</v>
      </c>
      <c r="G138" s="7">
        <v>28786.75</v>
      </c>
      <c r="H138" t="s">
        <v>13</v>
      </c>
      <c r="I138" s="9">
        <v>46281</v>
      </c>
      <c r="J138">
        <f t="shared" ca="1" si="2"/>
        <v>62</v>
      </c>
    </row>
    <row r="139" spans="1:10">
      <c r="A139" t="s">
        <v>293</v>
      </c>
      <c r="B139" t="s">
        <v>53</v>
      </c>
      <c r="C139" t="s">
        <v>348</v>
      </c>
      <c r="D139" t="s">
        <v>34</v>
      </c>
      <c r="E139" s="8">
        <v>56641.7</v>
      </c>
      <c r="F139" s="3">
        <v>5.8200000000000002E-2</v>
      </c>
      <c r="G139" s="7">
        <v>3355.63</v>
      </c>
      <c r="H139" t="s">
        <v>24</v>
      </c>
      <c r="I139" s="9">
        <v>46262</v>
      </c>
      <c r="J139">
        <f t="shared" ca="1" si="2"/>
        <v>43</v>
      </c>
    </row>
    <row r="140" spans="1:10">
      <c r="A140" t="s">
        <v>295</v>
      </c>
      <c r="B140" t="s">
        <v>21</v>
      </c>
      <c r="C140" t="s">
        <v>347</v>
      </c>
      <c r="D140" t="s">
        <v>23</v>
      </c>
      <c r="E140" s="8">
        <v>335905.36</v>
      </c>
      <c r="F140" s="3">
        <v>0.1128</v>
      </c>
      <c r="G140" s="7">
        <v>37036.57</v>
      </c>
      <c r="H140" t="s">
        <v>24</v>
      </c>
      <c r="I140" s="9">
        <v>46311</v>
      </c>
      <c r="J140">
        <f t="shared" ca="1" si="2"/>
        <v>92</v>
      </c>
    </row>
    <row r="141" spans="1:10">
      <c r="A141" t="s">
        <v>297</v>
      </c>
      <c r="B141" t="s">
        <v>74</v>
      </c>
      <c r="C141" t="s">
        <v>350</v>
      </c>
      <c r="D141" t="s">
        <v>59</v>
      </c>
      <c r="E141" s="8">
        <v>1209257.19</v>
      </c>
      <c r="F141" s="3">
        <v>8.8599999999999998E-2</v>
      </c>
      <c r="G141" s="7">
        <v>84459.45</v>
      </c>
      <c r="H141" t="s">
        <v>24</v>
      </c>
      <c r="I141" s="9">
        <v>46499</v>
      </c>
      <c r="J141">
        <f t="shared" ca="1" si="2"/>
        <v>280</v>
      </c>
    </row>
    <row r="142" spans="1:10">
      <c r="A142" t="s">
        <v>299</v>
      </c>
      <c r="B142" t="s">
        <v>33</v>
      </c>
      <c r="C142" t="s">
        <v>347</v>
      </c>
      <c r="D142" t="s">
        <v>23</v>
      </c>
      <c r="E142" s="8">
        <v>1534949.61</v>
      </c>
      <c r="F142" s="3">
        <v>8.9499999999999996E-2</v>
      </c>
      <c r="G142" s="7">
        <v>100691.53</v>
      </c>
      <c r="H142" t="s">
        <v>13</v>
      </c>
      <c r="I142" s="9">
        <v>45925</v>
      </c>
      <c r="J142">
        <f t="shared" ca="1" si="2"/>
        <v>-294</v>
      </c>
    </row>
    <row r="143" spans="1:10">
      <c r="A143" t="s">
        <v>301</v>
      </c>
      <c r="B143" t="s">
        <v>33</v>
      </c>
      <c r="C143" t="s">
        <v>348</v>
      </c>
      <c r="D143" t="s">
        <v>34</v>
      </c>
      <c r="E143" s="8">
        <v>1996009.15</v>
      </c>
      <c r="F143" s="3">
        <v>8.2500000000000004E-2</v>
      </c>
      <c r="G143" s="7">
        <v>160092.85999999999</v>
      </c>
      <c r="H143" t="s">
        <v>13</v>
      </c>
      <c r="I143" s="9">
        <v>46351</v>
      </c>
      <c r="J143">
        <f t="shared" ca="1" si="2"/>
        <v>132</v>
      </c>
    </row>
    <row r="144" spans="1:10">
      <c r="A144" t="s">
        <v>303</v>
      </c>
      <c r="B144" t="s">
        <v>10</v>
      </c>
      <c r="C144" t="s">
        <v>350</v>
      </c>
      <c r="D144" t="s">
        <v>59</v>
      </c>
      <c r="E144" s="8">
        <v>311413.15999999997</v>
      </c>
      <c r="F144" s="3">
        <v>8.4599999999999995E-2</v>
      </c>
      <c r="G144" s="7">
        <v>25339.27</v>
      </c>
      <c r="H144" t="s">
        <v>18</v>
      </c>
      <c r="I144" s="9">
        <v>46064</v>
      </c>
      <c r="J144">
        <f t="shared" ca="1" si="2"/>
        <v>-155</v>
      </c>
    </row>
    <row r="145" spans="1:10">
      <c r="A145" t="s">
        <v>305</v>
      </c>
      <c r="B145" t="s">
        <v>16</v>
      </c>
      <c r="C145" t="s">
        <v>345</v>
      </c>
      <c r="D145" t="s">
        <v>12</v>
      </c>
      <c r="E145" s="8">
        <v>2134282.2799999998</v>
      </c>
      <c r="F145" s="3">
        <v>0.1195</v>
      </c>
      <c r="G145" s="7">
        <v>206410.29</v>
      </c>
      <c r="H145" t="s">
        <v>28</v>
      </c>
      <c r="I145" s="9">
        <v>46298</v>
      </c>
      <c r="J145">
        <f t="shared" ca="1" si="2"/>
        <v>79</v>
      </c>
    </row>
    <row r="146" spans="1:10">
      <c r="A146" t="s">
        <v>307</v>
      </c>
      <c r="B146" t="s">
        <v>21</v>
      </c>
      <c r="C146" t="s">
        <v>347</v>
      </c>
      <c r="D146" t="s">
        <v>34</v>
      </c>
      <c r="E146" s="8">
        <v>1877637.59</v>
      </c>
      <c r="F146" s="3">
        <v>3.3399999999999999E-2</v>
      </c>
      <c r="G146" s="7">
        <v>67751.81</v>
      </c>
      <c r="H146" t="s">
        <v>24</v>
      </c>
      <c r="I146" s="9">
        <v>46246</v>
      </c>
      <c r="J146">
        <f t="shared" ca="1" si="2"/>
        <v>27</v>
      </c>
    </row>
    <row r="147" spans="1:10">
      <c r="A147" t="s">
        <v>309</v>
      </c>
      <c r="B147" t="s">
        <v>74</v>
      </c>
      <c r="C147" t="s">
        <v>350</v>
      </c>
      <c r="D147" t="s">
        <v>34</v>
      </c>
      <c r="E147" s="8">
        <v>1050869.82</v>
      </c>
      <c r="F147" s="3">
        <v>6.3500000000000001E-2</v>
      </c>
      <c r="G147" s="7">
        <v>50743.21</v>
      </c>
      <c r="H147" t="s">
        <v>13</v>
      </c>
      <c r="I147" s="9">
        <v>46068</v>
      </c>
      <c r="J147">
        <f t="shared" ca="1" si="2"/>
        <v>-151</v>
      </c>
    </row>
    <row r="148" spans="1:10">
      <c r="A148" t="s">
        <v>311</v>
      </c>
      <c r="B148" t="s">
        <v>10</v>
      </c>
      <c r="C148" t="s">
        <v>349</v>
      </c>
      <c r="D148" t="s">
        <v>59</v>
      </c>
      <c r="E148" s="8">
        <v>2335698.2599999998</v>
      </c>
      <c r="F148" s="3">
        <v>2.98E-2</v>
      </c>
      <c r="G148" s="7">
        <v>60759.53</v>
      </c>
      <c r="H148" t="s">
        <v>13</v>
      </c>
      <c r="I148" s="9">
        <v>46215</v>
      </c>
      <c r="J148">
        <f t="shared" ca="1" si="2"/>
        <v>-4</v>
      </c>
    </row>
    <row r="149" spans="1:10">
      <c r="A149" t="s">
        <v>313</v>
      </c>
      <c r="B149" t="s">
        <v>16</v>
      </c>
      <c r="C149" t="s">
        <v>345</v>
      </c>
      <c r="D149" t="s">
        <v>12</v>
      </c>
      <c r="E149" s="8">
        <v>2477777.2200000002</v>
      </c>
      <c r="F149" s="3">
        <v>0.1179</v>
      </c>
      <c r="G149" s="7">
        <v>314754.34000000003</v>
      </c>
      <c r="H149" t="s">
        <v>24</v>
      </c>
      <c r="I149" s="9">
        <v>46354</v>
      </c>
      <c r="J149">
        <f t="shared" ca="1" si="2"/>
        <v>135</v>
      </c>
    </row>
    <row r="150" spans="1:10">
      <c r="A150" t="s">
        <v>315</v>
      </c>
      <c r="B150" t="s">
        <v>10</v>
      </c>
      <c r="C150" t="s">
        <v>350</v>
      </c>
      <c r="D150" t="s">
        <v>23</v>
      </c>
      <c r="E150" s="8">
        <v>552254.43000000005</v>
      </c>
      <c r="F150" s="3">
        <v>5.5399999999999998E-2</v>
      </c>
      <c r="G150" s="7">
        <v>26553.03</v>
      </c>
      <c r="H150" t="s">
        <v>28</v>
      </c>
      <c r="I150" s="9">
        <v>46507</v>
      </c>
      <c r="J150">
        <f t="shared" ca="1" si="2"/>
        <v>288</v>
      </c>
    </row>
    <row r="151" spans="1:10">
      <c r="A151" t="s">
        <v>317</v>
      </c>
      <c r="B151" t="s">
        <v>53</v>
      </c>
      <c r="C151" t="s">
        <v>346</v>
      </c>
      <c r="D151" t="s">
        <v>12</v>
      </c>
      <c r="E151" s="8">
        <v>979110.03</v>
      </c>
      <c r="F151" s="3">
        <v>0.13669999999999999</v>
      </c>
      <c r="G151" s="7">
        <v>127876.27</v>
      </c>
      <c r="H151" t="s">
        <v>24</v>
      </c>
      <c r="I151" s="9">
        <v>46321</v>
      </c>
      <c r="J151">
        <f t="shared" ca="1" si="2"/>
        <v>102</v>
      </c>
    </row>
  </sheetData>
  <conditionalFormatting sqref="A1:A1048576">
    <cfRule type="duplicateValues" dxfId="3" priority="4"/>
  </conditionalFormatting>
  <conditionalFormatting sqref="E2:E1048576">
    <cfRule type="cellIs" dxfId="2" priority="2" operator="greaterThan">
      <formula>10000000</formula>
    </cfRule>
    <cfRule type="cellIs" dxfId="1" priority="3" operator="lessThan">
      <formula>0</formula>
    </cfRule>
  </conditionalFormatting>
  <conditionalFormatting sqref="E12">
    <cfRule type="cellIs" dxfId="0" priority="1" operator="greaterThan">
      <formula>10000000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F323-0697-4A57-B4C7-337D010897BC}">
  <dimension ref="A1:N28"/>
  <sheetViews>
    <sheetView showGridLines="0" workbookViewId="0">
      <selection activeCell="Q12" sqref="Q12"/>
    </sheetView>
  </sheetViews>
  <sheetFormatPr defaultRowHeight="14.4"/>
  <cols>
    <col min="1" max="13" width="12.77734375" customWidth="1"/>
    <col min="14" max="14" width="13.33203125" customWidth="1"/>
  </cols>
  <sheetData>
    <row r="1" spans="1:14" ht="21" customHeight="1">
      <c r="A1" s="28" t="s">
        <v>372</v>
      </c>
      <c r="B1" s="32"/>
      <c r="C1" s="32"/>
      <c r="D1" s="32"/>
      <c r="E1" s="32"/>
      <c r="F1" s="32"/>
      <c r="G1" s="32"/>
      <c r="H1" s="32"/>
      <c r="I1" s="32"/>
      <c r="J1" s="32"/>
      <c r="K1" s="32"/>
      <c r="L1" s="27"/>
      <c r="M1" s="27"/>
      <c r="N1" s="27"/>
    </row>
    <row r="2" spans="1:14" ht="14.4" customHeight="1">
      <c r="A2" s="27"/>
      <c r="B2" s="27"/>
      <c r="C2" s="27"/>
      <c r="D2" s="27"/>
      <c r="E2" s="27"/>
      <c r="F2" s="27"/>
      <c r="G2" s="27"/>
      <c r="H2" s="27"/>
      <c r="I2" s="27"/>
      <c r="J2" s="27"/>
      <c r="K2" s="27"/>
      <c r="L2" s="27"/>
      <c r="M2" s="27"/>
      <c r="N2" s="27"/>
    </row>
    <row r="3" spans="1:14">
      <c r="C3" s="35" t="s">
        <v>374</v>
      </c>
      <c r="D3" s="35"/>
      <c r="E3" s="35"/>
      <c r="H3" s="37" t="s">
        <v>373</v>
      </c>
      <c r="I3" s="37"/>
      <c r="J3" s="37"/>
      <c r="L3" s="36" t="s">
        <v>375</v>
      </c>
      <c r="M3" s="36"/>
      <c r="N3" s="36"/>
    </row>
    <row r="4" spans="1:14" ht="14.4" customHeight="1">
      <c r="C4" s="33">
        <f>GETPIVOTDATA("Annual Spend",Sourcing_Analytics!$A$3)</f>
        <v>47319092.75</v>
      </c>
      <c r="D4" s="33"/>
      <c r="E4" s="33"/>
      <c r="H4" s="33">
        <f>GETPIVOTDATA("Target Savings",Sourcing_Analytics!$A$12)</f>
        <v>163501661.17907497</v>
      </c>
      <c r="I4" s="33"/>
      <c r="J4" s="33"/>
      <c r="L4" s="34">
        <f>GETPIVOTDATA("Savings Spillage",Sourcing_Analytics!$A$12)</f>
        <v>159773206.23907498</v>
      </c>
      <c r="M4" s="34"/>
      <c r="N4" s="34"/>
    </row>
    <row r="5" spans="1:14" ht="14.4" customHeight="1">
      <c r="C5" s="33"/>
      <c r="D5" s="33"/>
      <c r="E5" s="33"/>
      <c r="H5" s="33"/>
      <c r="I5" s="33"/>
      <c r="J5" s="33"/>
      <c r="L5" s="34"/>
      <c r="M5" s="34"/>
      <c r="N5" s="34"/>
    </row>
    <row r="6" spans="1:14" ht="14.4" customHeight="1">
      <c r="C6" s="33"/>
      <c r="D6" s="33"/>
      <c r="E6" s="33"/>
      <c r="H6" s="33"/>
      <c r="I6" s="33"/>
      <c r="J6" s="33"/>
      <c r="L6" s="34"/>
      <c r="M6" s="34"/>
      <c r="N6" s="34"/>
    </row>
    <row r="7" spans="1:14" ht="22.8" customHeight="1"/>
    <row r="26" ht="22.8" customHeight="1"/>
    <row r="27" ht="22.8" customHeight="1"/>
    <row r="28" ht="22.8" customHeight="1"/>
  </sheetData>
  <mergeCells count="6">
    <mergeCell ref="H4:J6"/>
    <mergeCell ref="L4:N6"/>
    <mergeCell ref="C3:E3"/>
    <mergeCell ref="L3:N3"/>
    <mergeCell ref="C4:E6"/>
    <mergeCell ref="H3: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topLeftCell="A12" workbookViewId="0">
      <selection activeCell="B28" sqref="B28"/>
    </sheetView>
  </sheetViews>
  <sheetFormatPr defaultRowHeight="14.4"/>
  <cols>
    <col min="1" max="1" width="61.109375" customWidth="1"/>
    <col min="2" max="2" width="136.44140625" customWidth="1"/>
  </cols>
  <sheetData>
    <row r="1" spans="1:2" ht="24.6">
      <c r="A1" s="38" t="s">
        <v>319</v>
      </c>
      <c r="B1" s="39"/>
    </row>
    <row r="3" spans="1:2" ht="19.2">
      <c r="A3" s="4" t="s">
        <v>320</v>
      </c>
      <c r="B3" s="4"/>
    </row>
    <row r="4" spans="1:2" ht="15">
      <c r="A4" s="5" t="s">
        <v>321</v>
      </c>
      <c r="B4" s="6" t="s">
        <v>322</v>
      </c>
    </row>
    <row r="5" spans="1:2" ht="30">
      <c r="A5" s="5" t="s">
        <v>323</v>
      </c>
      <c r="B5" s="6" t="s">
        <v>324</v>
      </c>
    </row>
    <row r="6" spans="1:2" ht="30">
      <c r="A6" s="5" t="s">
        <v>325</v>
      </c>
      <c r="B6" s="6" t="s">
        <v>326</v>
      </c>
    </row>
    <row r="8" spans="1:2" ht="19.2">
      <c r="A8" s="4" t="s">
        <v>327</v>
      </c>
      <c r="B8" s="4"/>
    </row>
    <row r="9" spans="1:2" ht="15">
      <c r="A9" s="5" t="s">
        <v>328</v>
      </c>
      <c r="B9" s="6" t="s">
        <v>329</v>
      </c>
    </row>
    <row r="10" spans="1:2" ht="15">
      <c r="A10" s="5" t="s">
        <v>330</v>
      </c>
      <c r="B10" s="6" t="s">
        <v>331</v>
      </c>
    </row>
    <row r="11" spans="1:2" ht="15">
      <c r="A11" s="5" t="s">
        <v>332</v>
      </c>
      <c r="B11" s="6" t="s">
        <v>333</v>
      </c>
    </row>
    <row r="12" spans="1:2" ht="15">
      <c r="A12" s="5" t="s">
        <v>334</v>
      </c>
      <c r="B12" s="6" t="s">
        <v>335</v>
      </c>
    </row>
    <row r="14" spans="1:2" ht="19.2">
      <c r="A14" s="4" t="s">
        <v>336</v>
      </c>
      <c r="B14" s="4"/>
    </row>
    <row r="15" spans="1:2" ht="15">
      <c r="A15" s="5" t="s">
        <v>337</v>
      </c>
      <c r="B15" s="6" t="s">
        <v>338</v>
      </c>
    </row>
    <row r="16" spans="1:2" ht="15">
      <c r="A16" s="5" t="s">
        <v>339</v>
      </c>
      <c r="B16" s="6" t="s">
        <v>340</v>
      </c>
    </row>
    <row r="17" spans="1:3" ht="15">
      <c r="A17" s="5" t="s">
        <v>341</v>
      </c>
      <c r="B17" s="6" t="s">
        <v>342</v>
      </c>
    </row>
    <row r="18" spans="1:3" ht="15">
      <c r="A18" s="5" t="s">
        <v>343</v>
      </c>
      <c r="B18" s="6" t="s">
        <v>344</v>
      </c>
    </row>
    <row r="20" spans="1:3" ht="19.2">
      <c r="A20" s="40" t="s">
        <v>376</v>
      </c>
      <c r="B20" s="41"/>
    </row>
    <row r="21" spans="1:3" ht="27.6" customHeight="1">
      <c r="A21" s="30" t="s">
        <v>381</v>
      </c>
      <c r="B21" s="29" t="s">
        <v>386</v>
      </c>
    </row>
    <row r="22" spans="1:3" ht="24.6" customHeight="1">
      <c r="A22" s="30" t="s">
        <v>382</v>
      </c>
      <c r="B22" s="29" t="s">
        <v>380</v>
      </c>
      <c r="C22" s="29"/>
    </row>
    <row r="23" spans="1:3" ht="24.6" customHeight="1">
      <c r="A23" s="30" t="s">
        <v>377</v>
      </c>
      <c r="B23" t="s">
        <v>384</v>
      </c>
    </row>
    <row r="24" spans="1:3" ht="22.8" customHeight="1">
      <c r="A24" s="30" t="s">
        <v>378</v>
      </c>
      <c r="B24" s="29" t="s">
        <v>383</v>
      </c>
    </row>
    <row r="25" spans="1:3" ht="31.2" customHeight="1">
      <c r="A25" s="30" t="s">
        <v>379</v>
      </c>
      <c r="B25" s="29" t="s">
        <v>385</v>
      </c>
    </row>
    <row r="26" spans="1:3">
      <c r="A26" s="15" t="s">
        <v>387</v>
      </c>
      <c r="B26" s="31" t="s">
        <v>388</v>
      </c>
    </row>
  </sheetData>
  <mergeCells count="2">
    <mergeCell ref="A1:B1"/>
    <mergeCell ref="A20:B2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Raw_Procurement_Data</vt:lpstr>
      <vt:lpstr>Sourcing_Analytics</vt:lpstr>
      <vt:lpstr>Cleaned_Data</vt:lpstr>
      <vt:lpstr>Executive_Dashboard</vt:lpstr>
      <vt:lpstr>Interview_Context_&amp;_Instruction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makena mugambi</cp:lastModifiedBy>
  <dcterms:created xsi:type="dcterms:W3CDTF">2026-07-16T10:59:30Z</dcterms:created>
  <dcterms:modified xsi:type="dcterms:W3CDTF">2026-07-16T16:18:22Z</dcterms:modified>
</cp:coreProperties>
</file>